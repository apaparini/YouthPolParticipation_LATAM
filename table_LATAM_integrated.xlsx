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ellapaparini/Documents/Master/15081 The Political Economy of Gender Inequality/Presentation/Data/"/>
    </mc:Choice>
  </mc:AlternateContent>
  <xr:revisionPtr revIDLastSave="0" documentId="13_ncr:1_{1DE69451-5E91-F748-9A37-E1C1C909B2AF}" xr6:coauthVersionLast="47" xr6:coauthVersionMax="47" xr10:uidLastSave="{00000000-0000-0000-0000-000000000000}"/>
  <bookViews>
    <workbookView minimized="1" xWindow="9380" yWindow="760" windowWidth="16260" windowHeight="17300" activeTab="5" xr2:uid="{00000000-000D-0000-FFFF-FFFF00000000}"/>
  </bookViews>
  <sheets>
    <sheet name="LATAM" sheetId="1" r:id="rId1"/>
    <sheet name="Argentina" sheetId="6" r:id="rId2"/>
    <sheet name="Bolivia" sheetId="10" r:id="rId3"/>
    <sheet name="Brazil" sheetId="11" r:id="rId4"/>
    <sheet name="Chile" sheetId="12" r:id="rId5"/>
    <sheet name="Colombia" sheetId="9" r:id="rId6"/>
    <sheet name="Ecuador" sheetId="2" r:id="rId7"/>
    <sheet name="Guatemala" sheetId="3" r:id="rId8"/>
    <sheet name="Mexico" sheetId="8" r:id="rId9"/>
    <sheet name="Nicaragua" sheetId="4" r:id="rId10"/>
    <sheet name="Peru" sheetId="13" r:id="rId11"/>
    <sheet name="PuertoRico" sheetId="7" r:id="rId12"/>
    <sheet name="Uruguay" sheetId="14" r:id="rId13"/>
    <sheet name="Venezuela" sheetId="5" r:id="rId14"/>
  </sheets>
  <definedNames>
    <definedName name="_xlnm._FilterDatabase" localSheetId="0" hidden="1">LATAM!$A$2:$I$28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K29" i="1"/>
  <c r="L29" i="1"/>
  <c r="M29" i="1"/>
  <c r="N29" i="1"/>
  <c r="O29" i="1"/>
  <c r="P29" i="1"/>
  <c r="Q29" i="1"/>
  <c r="R29" i="1"/>
  <c r="S29" i="1"/>
  <c r="T29" i="1"/>
  <c r="U29" i="1"/>
  <c r="V29" i="1"/>
  <c r="J29" i="1"/>
  <c r="J3" i="1"/>
  <c r="K3" i="1"/>
  <c r="L3" i="1"/>
  <c r="M3" i="1"/>
  <c r="N3" i="1"/>
  <c r="O3" i="1"/>
  <c r="P3" i="1"/>
  <c r="Q3" i="1"/>
  <c r="R3" i="1"/>
  <c r="S3" i="1"/>
  <c r="T3" i="1"/>
  <c r="U3" i="1"/>
  <c r="V3" i="1"/>
  <c r="J4" i="1"/>
  <c r="K4" i="1"/>
  <c r="L4" i="1"/>
  <c r="M4" i="1"/>
  <c r="N4" i="1"/>
  <c r="O4" i="1"/>
  <c r="P4" i="1"/>
  <c r="Q4" i="1"/>
  <c r="R4" i="1"/>
  <c r="S4" i="1"/>
  <c r="T4" i="1"/>
  <c r="U4" i="1"/>
  <c r="V4" i="1"/>
  <c r="J5" i="1"/>
  <c r="K5" i="1"/>
  <c r="L5" i="1"/>
  <c r="M5" i="1"/>
  <c r="N5" i="1"/>
  <c r="O5" i="1"/>
  <c r="P5" i="1"/>
  <c r="Q5" i="1"/>
  <c r="R5" i="1"/>
  <c r="S5" i="1"/>
  <c r="T5" i="1"/>
  <c r="U5" i="1"/>
  <c r="V5" i="1"/>
  <c r="J6" i="1"/>
  <c r="K6" i="1"/>
  <c r="L6" i="1"/>
  <c r="M6" i="1"/>
  <c r="N6" i="1"/>
  <c r="O6" i="1"/>
  <c r="P6" i="1"/>
  <c r="Q6" i="1"/>
  <c r="R6" i="1"/>
  <c r="S6" i="1"/>
  <c r="T6" i="1"/>
  <c r="U6" i="1"/>
  <c r="V6" i="1"/>
  <c r="J7" i="1"/>
  <c r="K7" i="1"/>
  <c r="L7" i="1"/>
  <c r="M7" i="1"/>
  <c r="N7" i="1"/>
  <c r="O7" i="1"/>
  <c r="P7" i="1"/>
  <c r="Q7" i="1"/>
  <c r="R7" i="1"/>
  <c r="S7" i="1"/>
  <c r="T7" i="1"/>
  <c r="U7" i="1"/>
  <c r="V7" i="1"/>
  <c r="J8" i="1"/>
  <c r="K8" i="1"/>
  <c r="L8" i="1"/>
  <c r="M8" i="1"/>
  <c r="N8" i="1"/>
  <c r="O8" i="1"/>
  <c r="P8" i="1"/>
  <c r="Q8" i="1"/>
  <c r="R8" i="1"/>
  <c r="S8" i="1"/>
  <c r="T8" i="1"/>
  <c r="U8" i="1"/>
  <c r="V8" i="1"/>
  <c r="J9" i="1"/>
  <c r="K9" i="1"/>
  <c r="L9" i="1"/>
  <c r="M9" i="1"/>
  <c r="N9" i="1"/>
  <c r="O9" i="1"/>
  <c r="P9" i="1"/>
  <c r="Q9" i="1"/>
  <c r="R9" i="1"/>
  <c r="S9" i="1"/>
  <c r="T9" i="1"/>
  <c r="U9" i="1"/>
  <c r="V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J21" i="1"/>
  <c r="N21" i="1"/>
  <c r="O21" i="1"/>
  <c r="P21" i="1"/>
  <c r="Q21" i="1"/>
  <c r="R21" i="1"/>
  <c r="S21" i="1"/>
  <c r="U21" i="1"/>
  <c r="V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29" i="12"/>
  <c r="I28" i="12"/>
  <c r="I27" i="12"/>
  <c r="I26" i="12"/>
  <c r="I25" i="12"/>
  <c r="I24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29" i="10"/>
  <c r="I28" i="10"/>
  <c r="I27" i="10"/>
  <c r="I26" i="10"/>
  <c r="I25" i="10"/>
  <c r="I24" i="10"/>
  <c r="I22" i="10"/>
  <c r="I19" i="10"/>
  <c r="I18" i="10"/>
  <c r="I16" i="10"/>
  <c r="I15" i="10"/>
  <c r="I14" i="10"/>
  <c r="I13" i="10"/>
  <c r="I12" i="10"/>
  <c r="I11" i="10"/>
  <c r="I10" i="10"/>
  <c r="I9" i="10"/>
  <c r="I8" i="10"/>
  <c r="I7" i="10"/>
  <c r="I6" i="10"/>
  <c r="I5" i="10"/>
  <c r="I29" i="9"/>
  <c r="I28" i="9"/>
  <c r="I27" i="9"/>
  <c r="I26" i="9"/>
  <c r="I25" i="9"/>
  <c r="I24" i="9"/>
  <c r="I23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29" i="7"/>
  <c r="I28" i="7"/>
  <c r="I27" i="7"/>
  <c r="I26" i="7"/>
  <c r="I25" i="7"/>
  <c r="I24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4" i="3"/>
  <c r="I13" i="3"/>
  <c r="I12" i="3"/>
  <c r="I11" i="3"/>
  <c r="I10" i="3"/>
  <c r="I9" i="3"/>
  <c r="I8" i="3"/>
  <c r="I7" i="3"/>
  <c r="I5" i="3"/>
  <c r="I29" i="2"/>
  <c r="I28" i="2"/>
  <c r="I27" i="2"/>
  <c r="I25" i="2"/>
  <c r="I24" i="2"/>
  <c r="I23" i="2"/>
  <c r="I22" i="2"/>
  <c r="I21" i="2"/>
  <c r="I20" i="2"/>
  <c r="I19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</calcChain>
</file>

<file path=xl/sharedStrings.xml><?xml version="1.0" encoding="utf-8"?>
<sst xmlns="http://schemas.openxmlformats.org/spreadsheetml/2006/main" count="691" uniqueCount="144">
  <si>
    <t>Male</t>
  </si>
  <si>
    <t>Female</t>
  </si>
  <si>
    <t>Total</t>
  </si>
  <si>
    <t>Test</t>
  </si>
  <si>
    <t>N</t>
  </si>
  <si>
    <t>&lt;0,001</t>
  </si>
  <si>
    <t>Country: Ecuador</t>
  </si>
  <si>
    <t>(B) Political action: attending lawful/peaceful demonstrations</t>
  </si>
  <si>
    <t>(B) Political action: Signing a petition</t>
  </si>
  <si>
    <t>(B) Political action: joining in boycotts</t>
  </si>
  <si>
    <t>(B) Active/Inactive membership: Political party</t>
  </si>
  <si>
    <t>(B) Social activism: Contacting a government official</t>
  </si>
  <si>
    <t>(B) Social activism: Donating to a group or campaign</t>
  </si>
  <si>
    <t>(B) Social activism: Encouraging others to take action</t>
  </si>
  <si>
    <t>(B) Political action: joining unofficial strikes</t>
  </si>
  <si>
    <t>(B) Membership: charitable/humanitarian organization</t>
  </si>
  <si>
    <t>(B) Political actions online: Encouraging others to act</t>
  </si>
  <si>
    <t>(B) Political actions online: Searching information</t>
  </si>
  <si>
    <t>(B) Political actions online: Organizing activities/protests</t>
  </si>
  <si>
    <t>(B) Information source: Daily newspaper</t>
  </si>
  <si>
    <t>(B) Information source: TV news</t>
  </si>
  <si>
    <t>***</t>
  </si>
  <si>
    <t>(B) Information source: Radio news</t>
  </si>
  <si>
    <t>(B) Information source: Internet</t>
  </si>
  <si>
    <t>(B) Information source: Social media</t>
  </si>
  <si>
    <t>(B) Interest in politics (high vs low)</t>
  </si>
  <si>
    <t>(B) How much system allows people to have a say</t>
  </si>
  <si>
    <t>.</t>
  </si>
  <si>
    <t>(B) Satisfaction with political system performance</t>
  </si>
  <si>
    <t>(B) Having a democratic political system</t>
  </si>
  <si>
    <t>(B) Importance of democracy</t>
  </si>
  <si>
    <t>(B) Confidence: The Government</t>
  </si>
  <si>
    <t>(B) Confidence: The Political Parties</t>
  </si>
  <si>
    <t>(B) Confidence: Parliament</t>
  </si>
  <si>
    <t>Country: Guatemala</t>
  </si>
  <si>
    <t>p-value</t>
  </si>
  <si>
    <t>Country: Nicaragua</t>
  </si>
  <si>
    <t>Country: Venezuela</t>
  </si>
  <si>
    <t>Country: Argentina</t>
  </si>
  <si>
    <t>Country: Puerto_Rico</t>
  </si>
  <si>
    <t>Country: Mexico</t>
  </si>
  <si>
    <t>%</t>
  </si>
  <si>
    <t>Sd</t>
  </si>
  <si>
    <t>Country: Colombia</t>
  </si>
  <si>
    <t>Country: Bolivia</t>
  </si>
  <si>
    <t>Country: Brazil</t>
  </si>
  <si>
    <t>Country: Chile</t>
  </si>
  <si>
    <t>Country: Peru</t>
  </si>
  <si>
    <t>Country: Uruguay</t>
  </si>
  <si>
    <t>0.460</t>
  </si>
  <si>
    <t>0.469</t>
  </si>
  <si>
    <t>0.466</t>
  </si>
  <si>
    <t>0.664</t>
  </si>
  <si>
    <t>0.499</t>
  </si>
  <si>
    <t>0.496</t>
  </si>
  <si>
    <t>0.872</t>
  </si>
  <si>
    <t>0.000</t>
  </si>
  <si>
    <t>0.179</t>
  </si>
  <si>
    <t>0.153</t>
  </si>
  <si>
    <t>0.167</t>
  </si>
  <si>
    <t>0.447</t>
  </si>
  <si>
    <t>0.398</t>
  </si>
  <si>
    <t>0.413</t>
  </si>
  <si>
    <t>0.191</t>
  </si>
  <si>
    <t>0.497</t>
  </si>
  <si>
    <t>0.498</t>
  </si>
  <si>
    <t>0.657</t>
  </si>
  <si>
    <t>0.489</t>
  </si>
  <si>
    <t>0.490</t>
  </si>
  <si>
    <t>0.648</t>
  </si>
  <si>
    <t>0.385</t>
  </si>
  <si>
    <t>0.338</t>
  </si>
  <si>
    <t>0.352</t>
  </si>
  <si>
    <t>0.328</t>
  </si>
  <si>
    <t>0.371</t>
  </si>
  <si>
    <t>0.319</t>
  </si>
  <si>
    <t>0.335</t>
  </si>
  <si>
    <t>0.298</t>
  </si>
  <si>
    <t>0.449</t>
  </si>
  <si>
    <t>0.444</t>
  </si>
  <si>
    <t>0.445</t>
  </si>
  <si>
    <t>0.925</t>
  </si>
  <si>
    <t>0.380</t>
  </si>
  <si>
    <t>0.373</t>
  </si>
  <si>
    <t>0.374</t>
  </si>
  <si>
    <t>0.914</t>
  </si>
  <si>
    <t>0.848</t>
  </si>
  <si>
    <t>0.251</t>
  </si>
  <si>
    <t>0.230</t>
  </si>
  <si>
    <t>0.296</t>
  </si>
  <si>
    <t>0.306</t>
  </si>
  <si>
    <t>0.303</t>
  </si>
  <si>
    <t>0.850</t>
  </si>
  <si>
    <t>0.482</t>
  </si>
  <si>
    <t>0.481</t>
  </si>
  <si>
    <t>0.480</t>
  </si>
  <si>
    <t>0.970</t>
  </si>
  <si>
    <t>0.417</t>
  </si>
  <si>
    <t>0.355</t>
  </si>
  <si>
    <t>0.162</t>
  </si>
  <si>
    <t>0.424</t>
  </si>
  <si>
    <t>0.423</t>
  </si>
  <si>
    <t>0.946</t>
  </si>
  <si>
    <t>0.443</t>
  </si>
  <si>
    <t>0.455</t>
  </si>
  <si>
    <t>0.175</t>
  </si>
  <si>
    <t>0.502</t>
  </si>
  <si>
    <t>0.487</t>
  </si>
  <si>
    <t>0.492</t>
  </si>
  <si>
    <t>0.210</t>
  </si>
  <si>
    <t>0.450</t>
  </si>
  <si>
    <t>0.270</t>
  </si>
  <si>
    <t>0.905</t>
  </si>
  <si>
    <t>0.302</t>
  </si>
  <si>
    <t>0.295</t>
  </si>
  <si>
    <t>0.297</t>
  </si>
  <si>
    <t>0.921</t>
  </si>
  <si>
    <t>0.337</t>
  </si>
  <si>
    <t>0.261</t>
  </si>
  <si>
    <t>0.285</t>
  </si>
  <si>
    <t>0.168</t>
  </si>
  <si>
    <t>0.503</t>
  </si>
  <si>
    <t>0.045</t>
  </si>
  <si>
    <t>0.405</t>
  </si>
  <si>
    <t>0.418</t>
  </si>
  <si>
    <t>0.263</t>
  </si>
  <si>
    <t>0.500</t>
  </si>
  <si>
    <t>0.477</t>
  </si>
  <si>
    <t>0.484</t>
  </si>
  <si>
    <t>0.150</t>
  </si>
  <si>
    <t>Argentina</t>
  </si>
  <si>
    <t>Bolivia</t>
  </si>
  <si>
    <t>Brazil</t>
  </si>
  <si>
    <t>Chile</t>
  </si>
  <si>
    <t>Colombia</t>
  </si>
  <si>
    <t>Ecuador</t>
  </si>
  <si>
    <t>Guatemala</t>
  </si>
  <si>
    <t>México</t>
  </si>
  <si>
    <t>Nicaragua</t>
  </si>
  <si>
    <t>Puerto Rico</t>
  </si>
  <si>
    <t>Uruguay</t>
  </si>
  <si>
    <t>Venezuela</t>
  </si>
  <si>
    <t>Peru</t>
  </si>
  <si>
    <t>Significance per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</si>
</sst>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32" fillId="0" borderId="0" applyFont="0" applyFill="0" applyBorder="0" applyAlignment="0" applyProtection="0"/>
    <xf numFmtId="0" fontId="1" fillId="0" borderId="2"/>
    <xf numFmtId="9" fontId="1" fillId="0" borderId="2" applyFont="0" applyFill="0" applyBorder="0" applyAlignment="0" applyProtection="0"/>
  </cellStyleXfs>
  <cellXfs count="255">
    <xf numFmtId="0" fontId="0" fillId="0" borderId="0" xfId="0"/>
    <xf numFmtId="0" fontId="6" fillId="0" borderId="1" xfId="0" applyFont="1" applyBorder="1"/>
    <xf numFmtId="0" fontId="13" fillId="0" borderId="2" xfId="0" applyFont="1" applyBorder="1" applyAlignment="1">
      <alignment horizontal="right"/>
    </xf>
    <xf numFmtId="0" fontId="33" fillId="0" borderId="2" xfId="0" applyFont="1" applyBorder="1" applyAlignment="1">
      <alignment horizontal="right"/>
    </xf>
    <xf numFmtId="0" fontId="48" fillId="0" borderId="2" xfId="0" applyFont="1" applyBorder="1" applyAlignment="1">
      <alignment horizontal="right"/>
    </xf>
    <xf numFmtId="0" fontId="53" fillId="0" borderId="2" xfId="0" applyFont="1" applyBorder="1" applyAlignment="1">
      <alignment horizontal="right"/>
    </xf>
    <xf numFmtId="0" fontId="63" fillId="0" borderId="2" xfId="0" applyFont="1" applyBorder="1" applyAlignment="1">
      <alignment horizontal="right"/>
    </xf>
    <xf numFmtId="0" fontId="73" fillId="0" borderId="2" xfId="0" applyFont="1" applyBorder="1" applyAlignment="1">
      <alignment horizontal="right"/>
    </xf>
    <xf numFmtId="0" fontId="78" fillId="0" borderId="2" xfId="0" applyFont="1" applyBorder="1" applyAlignment="1">
      <alignment horizontal="right"/>
    </xf>
    <xf numFmtId="0" fontId="88" fillId="0" borderId="2" xfId="0" applyFont="1" applyBorder="1" applyAlignment="1">
      <alignment horizontal="right"/>
    </xf>
    <xf numFmtId="0" fontId="93" fillId="0" borderId="2" xfId="0" applyFont="1" applyBorder="1" applyAlignment="1">
      <alignment horizontal="right"/>
    </xf>
    <xf numFmtId="0" fontId="103" fillId="0" borderId="2" xfId="0" applyFont="1" applyBorder="1" applyAlignment="1">
      <alignment horizontal="right"/>
    </xf>
    <xf numFmtId="0" fontId="108" fillId="0" borderId="2" xfId="0" applyFont="1" applyBorder="1" applyAlignment="1">
      <alignment horizontal="right"/>
    </xf>
    <xf numFmtId="0" fontId="113" fillId="0" borderId="2" xfId="0" applyFont="1" applyBorder="1" applyAlignment="1">
      <alignment horizontal="right"/>
    </xf>
    <xf numFmtId="0" fontId="118" fillId="0" borderId="2" xfId="0" applyFont="1" applyBorder="1" applyAlignment="1">
      <alignment horizontal="right"/>
    </xf>
    <xf numFmtId="0" fontId="123" fillId="0" borderId="2" xfId="0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35" fillId="0" borderId="2" xfId="0" applyFont="1" applyBorder="1" applyAlignment="1">
      <alignment horizontal="right"/>
    </xf>
    <xf numFmtId="0" fontId="50" fillId="0" borderId="2" xfId="0" applyFont="1" applyBorder="1" applyAlignment="1">
      <alignment horizontal="right"/>
    </xf>
    <xf numFmtId="0" fontId="55" fillId="0" borderId="2" xfId="0" applyFont="1" applyBorder="1" applyAlignment="1">
      <alignment horizontal="right"/>
    </xf>
    <xf numFmtId="0" fontId="65" fillId="0" borderId="2" xfId="0" applyFont="1" applyBorder="1" applyAlignment="1">
      <alignment horizontal="right"/>
    </xf>
    <xf numFmtId="0" fontId="75" fillId="0" borderId="2" xfId="0" applyFont="1" applyBorder="1" applyAlignment="1">
      <alignment horizontal="right"/>
    </xf>
    <xf numFmtId="0" fontId="80" fillId="0" borderId="2" xfId="0" applyFont="1" applyBorder="1" applyAlignment="1">
      <alignment horizontal="right"/>
    </xf>
    <xf numFmtId="0" fontId="90" fillId="0" borderId="2" xfId="0" applyFont="1" applyBorder="1" applyAlignment="1">
      <alignment horizontal="right"/>
    </xf>
    <xf numFmtId="0" fontId="95" fillId="0" borderId="2" xfId="0" applyFont="1" applyBorder="1" applyAlignment="1">
      <alignment horizontal="right"/>
    </xf>
    <xf numFmtId="0" fontId="105" fillId="0" borderId="2" xfId="0" applyFont="1" applyBorder="1" applyAlignment="1">
      <alignment horizontal="right"/>
    </xf>
    <xf numFmtId="0" fontId="110" fillId="0" borderId="2" xfId="0" applyFont="1" applyBorder="1" applyAlignment="1">
      <alignment horizontal="right"/>
    </xf>
    <xf numFmtId="0" fontId="115" fillId="0" borderId="2" xfId="0" applyFont="1" applyBorder="1" applyAlignment="1">
      <alignment horizontal="right"/>
    </xf>
    <xf numFmtId="0" fontId="120" fillId="0" borderId="2" xfId="0" applyFont="1" applyBorder="1" applyAlignment="1">
      <alignment horizontal="right"/>
    </xf>
    <xf numFmtId="0" fontId="125" fillId="0" borderId="2" xfId="0" applyFont="1" applyBorder="1" applyAlignment="1">
      <alignment horizontal="right"/>
    </xf>
    <xf numFmtId="164" fontId="14" fillId="0" borderId="2" xfId="1" applyNumberFormat="1" applyFont="1" applyBorder="1" applyAlignment="1">
      <alignment horizontal="right"/>
    </xf>
    <xf numFmtId="164" fontId="34" fillId="0" borderId="2" xfId="1" applyNumberFormat="1" applyFont="1" applyBorder="1" applyAlignment="1">
      <alignment horizontal="right"/>
    </xf>
    <xf numFmtId="164" fontId="49" fillId="0" borderId="2" xfId="1" applyNumberFormat="1" applyFont="1" applyBorder="1" applyAlignment="1">
      <alignment horizontal="right"/>
    </xf>
    <xf numFmtId="164" fontId="54" fillId="0" borderId="2" xfId="1" applyNumberFormat="1" applyFont="1" applyBorder="1" applyAlignment="1">
      <alignment horizontal="right"/>
    </xf>
    <xf numFmtId="164" fontId="64" fillId="0" borderId="2" xfId="1" applyNumberFormat="1" applyFont="1" applyBorder="1" applyAlignment="1">
      <alignment horizontal="right"/>
    </xf>
    <xf numFmtId="164" fontId="74" fillId="0" borderId="2" xfId="1" applyNumberFormat="1" applyFont="1" applyBorder="1" applyAlignment="1">
      <alignment horizontal="right"/>
    </xf>
    <xf numFmtId="164" fontId="79" fillId="0" borderId="2" xfId="1" applyNumberFormat="1" applyFont="1" applyBorder="1" applyAlignment="1">
      <alignment horizontal="right"/>
    </xf>
    <xf numFmtId="164" fontId="89" fillId="0" borderId="2" xfId="1" applyNumberFormat="1" applyFont="1" applyBorder="1" applyAlignment="1">
      <alignment horizontal="right"/>
    </xf>
    <xf numFmtId="164" fontId="94" fillId="0" borderId="2" xfId="1" applyNumberFormat="1" applyFont="1" applyBorder="1" applyAlignment="1">
      <alignment horizontal="right"/>
    </xf>
    <xf numFmtId="164" fontId="104" fillId="0" borderId="2" xfId="1" applyNumberFormat="1" applyFont="1" applyBorder="1" applyAlignment="1">
      <alignment horizontal="right"/>
    </xf>
    <xf numFmtId="164" fontId="109" fillId="0" borderId="2" xfId="1" applyNumberFormat="1" applyFont="1" applyBorder="1" applyAlignment="1">
      <alignment horizontal="right"/>
    </xf>
    <xf numFmtId="164" fontId="114" fillId="0" borderId="2" xfId="1" applyNumberFormat="1" applyFont="1" applyBorder="1" applyAlignment="1">
      <alignment horizontal="right"/>
    </xf>
    <xf numFmtId="164" fontId="119" fillId="0" borderId="2" xfId="1" applyNumberFormat="1" applyFont="1" applyBorder="1" applyAlignment="1">
      <alignment horizontal="right"/>
    </xf>
    <xf numFmtId="164" fontId="124" fillId="0" borderId="2" xfId="1" applyNumberFormat="1" applyFont="1" applyBorder="1" applyAlignment="1">
      <alignment horizontal="right"/>
    </xf>
    <xf numFmtId="9" fontId="0" fillId="0" borderId="0" xfId="1" applyFont="1"/>
    <xf numFmtId="0" fontId="8" fillId="2" borderId="2" xfId="0" applyFont="1" applyFill="1" applyBorder="1" applyAlignment="1">
      <alignment horizontal="right"/>
    </xf>
    <xf numFmtId="164" fontId="9" fillId="2" borderId="2" xfId="1" applyNumberFormat="1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right"/>
    </xf>
    <xf numFmtId="164" fontId="19" fillId="2" borderId="2" xfId="1" applyNumberFormat="1" applyFont="1" applyFill="1" applyBorder="1" applyAlignment="1">
      <alignment horizontal="right"/>
    </xf>
    <xf numFmtId="0" fontId="20" fillId="2" borderId="2" xfId="0" applyFont="1" applyFill="1" applyBorder="1" applyAlignment="1">
      <alignment horizontal="right"/>
    </xf>
    <xf numFmtId="0" fontId="23" fillId="2" borderId="2" xfId="0" applyFont="1" applyFill="1" applyBorder="1" applyAlignment="1">
      <alignment horizontal="right"/>
    </xf>
    <xf numFmtId="164" fontId="24" fillId="2" borderId="2" xfId="1" applyNumberFormat="1" applyFont="1" applyFill="1" applyBorder="1" applyAlignment="1">
      <alignment horizontal="right"/>
    </xf>
    <xf numFmtId="0" fontId="25" fillId="2" borderId="2" xfId="0" applyFont="1" applyFill="1" applyBorder="1" applyAlignment="1">
      <alignment horizontal="right"/>
    </xf>
    <xf numFmtId="0" fontId="28" fillId="2" borderId="2" xfId="0" applyFont="1" applyFill="1" applyBorder="1" applyAlignment="1">
      <alignment horizontal="right"/>
    </xf>
    <xf numFmtId="164" fontId="29" fillId="2" borderId="2" xfId="1" applyNumberFormat="1" applyFont="1" applyFill="1" applyBorder="1" applyAlignment="1">
      <alignment horizontal="right"/>
    </xf>
    <xf numFmtId="0" fontId="30" fillId="2" borderId="2" xfId="0" applyFont="1" applyFill="1" applyBorder="1" applyAlignment="1">
      <alignment horizontal="right"/>
    </xf>
    <xf numFmtId="0" fontId="38" fillId="2" borderId="2" xfId="0" applyFont="1" applyFill="1" applyBorder="1" applyAlignment="1">
      <alignment horizontal="right"/>
    </xf>
    <xf numFmtId="164" fontId="39" fillId="2" borderId="2" xfId="1" applyNumberFormat="1" applyFont="1" applyFill="1" applyBorder="1" applyAlignment="1">
      <alignment horizontal="right"/>
    </xf>
    <xf numFmtId="0" fontId="40" fillId="2" borderId="2" xfId="0" applyFont="1" applyFill="1" applyBorder="1" applyAlignment="1">
      <alignment horizontal="right"/>
    </xf>
    <xf numFmtId="0" fontId="43" fillId="2" borderId="2" xfId="0" applyFont="1" applyFill="1" applyBorder="1" applyAlignment="1">
      <alignment horizontal="right"/>
    </xf>
    <xf numFmtId="164" fontId="44" fillId="2" borderId="2" xfId="1" applyNumberFormat="1" applyFont="1" applyFill="1" applyBorder="1" applyAlignment="1">
      <alignment horizontal="right"/>
    </xf>
    <xf numFmtId="0" fontId="45" fillId="2" borderId="2" xfId="0" applyFont="1" applyFill="1" applyBorder="1" applyAlignment="1">
      <alignment horizontal="right"/>
    </xf>
    <xf numFmtId="0" fontId="58" fillId="2" borderId="2" xfId="0" applyFont="1" applyFill="1" applyBorder="1" applyAlignment="1">
      <alignment horizontal="right"/>
    </xf>
    <xf numFmtId="164" fontId="59" fillId="2" borderId="2" xfId="1" applyNumberFormat="1" applyFont="1" applyFill="1" applyBorder="1" applyAlignment="1">
      <alignment horizontal="right"/>
    </xf>
    <xf numFmtId="0" fontId="60" fillId="2" borderId="2" xfId="0" applyFont="1" applyFill="1" applyBorder="1" applyAlignment="1">
      <alignment horizontal="right"/>
    </xf>
    <xf numFmtId="0" fontId="68" fillId="2" borderId="2" xfId="0" applyFont="1" applyFill="1" applyBorder="1" applyAlignment="1">
      <alignment horizontal="right"/>
    </xf>
    <xf numFmtId="164" fontId="69" fillId="2" borderId="2" xfId="1" applyNumberFormat="1" applyFont="1" applyFill="1" applyBorder="1" applyAlignment="1">
      <alignment horizontal="right"/>
    </xf>
    <xf numFmtId="0" fontId="70" fillId="2" borderId="2" xfId="0" applyFont="1" applyFill="1" applyBorder="1" applyAlignment="1">
      <alignment horizontal="right"/>
    </xf>
    <xf numFmtId="0" fontId="83" fillId="2" borderId="2" xfId="0" applyFont="1" applyFill="1" applyBorder="1" applyAlignment="1">
      <alignment horizontal="right"/>
    </xf>
    <xf numFmtId="164" fontId="84" fillId="2" borderId="2" xfId="1" applyNumberFormat="1" applyFont="1" applyFill="1" applyBorder="1" applyAlignment="1">
      <alignment horizontal="right"/>
    </xf>
    <xf numFmtId="0" fontId="85" fillId="2" borderId="2" xfId="0" applyFont="1" applyFill="1" applyBorder="1" applyAlignment="1">
      <alignment horizontal="right"/>
    </xf>
    <xf numFmtId="0" fontId="98" fillId="2" borderId="2" xfId="0" applyFont="1" applyFill="1" applyBorder="1" applyAlignment="1">
      <alignment horizontal="right"/>
    </xf>
    <xf numFmtId="164" fontId="99" fillId="2" borderId="2" xfId="1" applyNumberFormat="1" applyFont="1" applyFill="1" applyBorder="1" applyAlignment="1">
      <alignment horizontal="right"/>
    </xf>
    <xf numFmtId="0" fontId="100" fillId="2" borderId="2" xfId="0" applyFont="1" applyFill="1" applyBorder="1" applyAlignment="1">
      <alignment horizontal="right"/>
    </xf>
    <xf numFmtId="0" fontId="1" fillId="0" borderId="2" xfId="2"/>
    <xf numFmtId="0" fontId="1" fillId="0" borderId="1" xfId="2" applyBorder="1"/>
    <xf numFmtId="0" fontId="1" fillId="0" borderId="2" xfId="2" applyAlignment="1">
      <alignment horizontal="center"/>
    </xf>
    <xf numFmtId="0" fontId="1" fillId="0" borderId="1" xfId="2" applyBorder="1" applyAlignment="1">
      <alignment horizontal="right"/>
    </xf>
    <xf numFmtId="10" fontId="1" fillId="0" borderId="1" xfId="2" applyNumberFormat="1" applyBorder="1" applyAlignment="1">
      <alignment horizontal="right"/>
    </xf>
    <xf numFmtId="10" fontId="1" fillId="0" borderId="2" xfId="3" applyNumberFormat="1" applyFont="1" applyBorder="1" applyAlignment="1">
      <alignment horizontal="right"/>
    </xf>
    <xf numFmtId="0" fontId="1" fillId="0" borderId="2" xfId="2" applyAlignment="1">
      <alignment horizontal="right"/>
    </xf>
    <xf numFmtId="10" fontId="1" fillId="2" borderId="2" xfId="3" applyNumberFormat="1" applyFont="1" applyFill="1" applyBorder="1" applyAlignment="1">
      <alignment horizontal="right"/>
    </xf>
    <xf numFmtId="0" fontId="1" fillId="2" borderId="2" xfId="2" applyFill="1" applyAlignment="1">
      <alignment horizontal="right"/>
    </xf>
    <xf numFmtId="10" fontId="1" fillId="0" borderId="2" xfId="3" applyNumberFormat="1" applyFont="1" applyFill="1" applyBorder="1" applyAlignment="1">
      <alignment horizontal="right"/>
    </xf>
    <xf numFmtId="10" fontId="1" fillId="0" borderId="2" xfId="1" applyNumberFormat="1" applyFont="1" applyBorder="1" applyAlignment="1">
      <alignment horizontal="right"/>
    </xf>
    <xf numFmtId="0" fontId="1" fillId="0" borderId="3" xfId="2" applyBorder="1"/>
    <xf numFmtId="0" fontId="1" fillId="0" borderId="4" xfId="2" applyBorder="1"/>
    <xf numFmtId="0" fontId="1" fillId="0" borderId="5" xfId="2" applyBorder="1"/>
    <xf numFmtId="0" fontId="1" fillId="0" borderId="6" xfId="2" applyBorder="1"/>
    <xf numFmtId="0" fontId="1" fillId="0" borderId="7" xfId="2" applyBorder="1"/>
    <xf numFmtId="0" fontId="1" fillId="0" borderId="8" xfId="2" applyBorder="1"/>
    <xf numFmtId="0" fontId="1" fillId="0" borderId="9" xfId="2" applyBorder="1" applyAlignment="1">
      <alignment horizontal="center"/>
    </xf>
    <xf numFmtId="0" fontId="1" fillId="0" borderId="6" xfId="2" applyBorder="1" applyAlignment="1">
      <alignment horizontal="left"/>
    </xf>
    <xf numFmtId="0" fontId="1" fillId="0" borderId="10" xfId="2" applyBorder="1"/>
    <xf numFmtId="0" fontId="1" fillId="0" borderId="8" xfId="2" applyBorder="1" applyAlignment="1">
      <alignment horizontal="left"/>
    </xf>
    <xf numFmtId="0" fontId="1" fillId="2" borderId="8" xfId="2" applyFill="1" applyBorder="1" applyAlignment="1">
      <alignment horizontal="left"/>
    </xf>
    <xf numFmtId="0" fontId="1" fillId="0" borderId="11" xfId="2" applyBorder="1" applyAlignment="1">
      <alignment horizontal="left"/>
    </xf>
    <xf numFmtId="10" fontId="1" fillId="0" borderId="12" xfId="3" applyNumberFormat="1" applyFont="1" applyBorder="1" applyAlignment="1">
      <alignment horizontal="right"/>
    </xf>
    <xf numFmtId="0" fontId="1" fillId="0" borderId="12" xfId="2" applyBorder="1" applyAlignment="1">
      <alignment horizontal="right"/>
    </xf>
    <xf numFmtId="0" fontId="1" fillId="0" borderId="13" xfId="2" applyBorder="1"/>
    <xf numFmtId="10" fontId="1" fillId="0" borderId="12" xfId="1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10" xfId="0" applyBorder="1"/>
    <xf numFmtId="0" fontId="7" fillId="2" borderId="8" xfId="0" applyFont="1" applyFill="1" applyBorder="1" applyAlignment="1">
      <alignment horizontal="left"/>
    </xf>
    <xf numFmtId="10" fontId="8" fillId="2" borderId="2" xfId="1" applyNumberFormat="1" applyFont="1" applyFill="1" applyBorder="1" applyAlignment="1">
      <alignment horizontal="right"/>
    </xf>
    <xf numFmtId="10" fontId="9" fillId="2" borderId="2" xfId="1" applyNumberFormat="1" applyFont="1" applyFill="1" applyBorder="1" applyAlignment="1">
      <alignment horizontal="right"/>
    </xf>
    <xf numFmtId="10" fontId="10" fillId="2" borderId="2" xfId="1" applyNumberFormat="1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0" fillId="2" borderId="10" xfId="0" applyFill="1" applyBorder="1"/>
    <xf numFmtId="0" fontId="12" fillId="0" borderId="8" xfId="0" applyFont="1" applyBorder="1" applyAlignment="1">
      <alignment horizontal="left"/>
    </xf>
    <xf numFmtId="10" fontId="13" fillId="0" borderId="2" xfId="1" applyNumberFormat="1" applyFont="1" applyBorder="1" applyAlignment="1">
      <alignment horizontal="right"/>
    </xf>
    <xf numFmtId="10" fontId="14" fillId="0" borderId="2" xfId="1" applyNumberFormat="1" applyFont="1" applyBorder="1" applyAlignment="1">
      <alignment horizontal="right"/>
    </xf>
    <xf numFmtId="10" fontId="15" fillId="0" borderId="2" xfId="1" applyNumberFormat="1" applyFont="1" applyBorder="1" applyAlignment="1">
      <alignment horizontal="right"/>
    </xf>
    <xf numFmtId="0" fontId="16" fillId="0" borderId="2" xfId="0" applyFont="1" applyBorder="1" applyAlignment="1">
      <alignment horizontal="right"/>
    </xf>
    <xf numFmtId="0" fontId="17" fillId="2" borderId="8" xfId="0" applyFont="1" applyFill="1" applyBorder="1" applyAlignment="1">
      <alignment horizontal="left"/>
    </xf>
    <xf numFmtId="10" fontId="18" fillId="2" borderId="2" xfId="1" applyNumberFormat="1" applyFont="1" applyFill="1" applyBorder="1" applyAlignment="1">
      <alignment horizontal="right"/>
    </xf>
    <xf numFmtId="10" fontId="19" fillId="2" borderId="2" xfId="1" applyNumberFormat="1" applyFont="1" applyFill="1" applyBorder="1" applyAlignment="1">
      <alignment horizontal="right"/>
    </xf>
    <xf numFmtId="10" fontId="20" fillId="2" borderId="2" xfId="1" applyNumberFormat="1" applyFont="1" applyFill="1" applyBorder="1" applyAlignment="1">
      <alignment horizontal="right"/>
    </xf>
    <xf numFmtId="0" fontId="21" fillId="2" borderId="2" xfId="0" applyFont="1" applyFill="1" applyBorder="1" applyAlignment="1">
      <alignment horizontal="right"/>
    </xf>
    <xf numFmtId="0" fontId="22" fillId="2" borderId="8" xfId="0" applyFont="1" applyFill="1" applyBorder="1" applyAlignment="1">
      <alignment horizontal="left"/>
    </xf>
    <xf numFmtId="10" fontId="23" fillId="2" borderId="2" xfId="1" applyNumberFormat="1" applyFont="1" applyFill="1" applyBorder="1" applyAlignment="1">
      <alignment horizontal="right"/>
    </xf>
    <xf numFmtId="10" fontId="24" fillId="2" borderId="2" xfId="1" applyNumberFormat="1" applyFont="1" applyFill="1" applyBorder="1" applyAlignment="1">
      <alignment horizontal="right"/>
    </xf>
    <xf numFmtId="10" fontId="25" fillId="2" borderId="2" xfId="1" applyNumberFormat="1" applyFont="1" applyFill="1" applyBorder="1" applyAlignment="1">
      <alignment horizontal="right"/>
    </xf>
    <xf numFmtId="0" fontId="26" fillId="2" borderId="2" xfId="0" applyFont="1" applyFill="1" applyBorder="1" applyAlignment="1">
      <alignment horizontal="right"/>
    </xf>
    <xf numFmtId="0" fontId="27" fillId="2" borderId="8" xfId="0" applyFont="1" applyFill="1" applyBorder="1" applyAlignment="1">
      <alignment horizontal="left"/>
    </xf>
    <xf numFmtId="10" fontId="28" fillId="2" borderId="2" xfId="1" applyNumberFormat="1" applyFont="1" applyFill="1" applyBorder="1" applyAlignment="1">
      <alignment horizontal="right"/>
    </xf>
    <xf numFmtId="10" fontId="29" fillId="2" borderId="2" xfId="1" applyNumberFormat="1" applyFont="1" applyFill="1" applyBorder="1" applyAlignment="1">
      <alignment horizontal="right"/>
    </xf>
    <xf numFmtId="10" fontId="30" fillId="2" borderId="2" xfId="1" applyNumberFormat="1" applyFont="1" applyFill="1" applyBorder="1" applyAlignment="1">
      <alignment horizontal="right"/>
    </xf>
    <xf numFmtId="0" fontId="31" fillId="2" borderId="2" xfId="0" applyFont="1" applyFill="1" applyBorder="1" applyAlignment="1">
      <alignment horizontal="right"/>
    </xf>
    <xf numFmtId="0" fontId="32" fillId="0" borderId="8" xfId="0" applyFont="1" applyBorder="1" applyAlignment="1">
      <alignment horizontal="left"/>
    </xf>
    <xf numFmtId="10" fontId="33" fillId="0" borderId="2" xfId="1" applyNumberFormat="1" applyFont="1" applyBorder="1" applyAlignment="1">
      <alignment horizontal="right"/>
    </xf>
    <xf numFmtId="10" fontId="34" fillId="0" borderId="2" xfId="1" applyNumberFormat="1" applyFont="1" applyBorder="1" applyAlignment="1">
      <alignment horizontal="right"/>
    </xf>
    <xf numFmtId="10" fontId="35" fillId="0" borderId="2" xfId="1" applyNumberFormat="1" applyFont="1" applyBorder="1" applyAlignment="1">
      <alignment horizontal="right"/>
    </xf>
    <xf numFmtId="0" fontId="36" fillId="0" borderId="2" xfId="0" applyFont="1" applyBorder="1" applyAlignment="1">
      <alignment horizontal="right"/>
    </xf>
    <xf numFmtId="0" fontId="37" fillId="2" borderId="8" xfId="0" applyFont="1" applyFill="1" applyBorder="1" applyAlignment="1">
      <alignment horizontal="left"/>
    </xf>
    <xf numFmtId="10" fontId="38" fillId="2" borderId="2" xfId="1" applyNumberFormat="1" applyFont="1" applyFill="1" applyBorder="1" applyAlignment="1">
      <alignment horizontal="right"/>
    </xf>
    <xf numFmtId="10" fontId="39" fillId="2" borderId="2" xfId="1" applyNumberFormat="1" applyFont="1" applyFill="1" applyBorder="1" applyAlignment="1">
      <alignment horizontal="right"/>
    </xf>
    <xf numFmtId="10" fontId="40" fillId="2" borderId="2" xfId="1" applyNumberFormat="1" applyFont="1" applyFill="1" applyBorder="1" applyAlignment="1">
      <alignment horizontal="right"/>
    </xf>
    <xf numFmtId="0" fontId="41" fillId="2" borderId="2" xfId="0" applyFont="1" applyFill="1" applyBorder="1" applyAlignment="1">
      <alignment horizontal="right"/>
    </xf>
    <xf numFmtId="0" fontId="42" fillId="2" borderId="8" xfId="0" applyFont="1" applyFill="1" applyBorder="1" applyAlignment="1">
      <alignment horizontal="left"/>
    </xf>
    <xf numFmtId="10" fontId="43" fillId="2" borderId="2" xfId="1" applyNumberFormat="1" applyFont="1" applyFill="1" applyBorder="1" applyAlignment="1">
      <alignment horizontal="right"/>
    </xf>
    <xf numFmtId="10" fontId="44" fillId="2" borderId="2" xfId="1" applyNumberFormat="1" applyFont="1" applyFill="1" applyBorder="1" applyAlignment="1">
      <alignment horizontal="right"/>
    </xf>
    <xf numFmtId="10" fontId="45" fillId="2" borderId="2" xfId="1" applyNumberFormat="1" applyFont="1" applyFill="1" applyBorder="1" applyAlignment="1">
      <alignment horizontal="right"/>
    </xf>
    <xf numFmtId="0" fontId="46" fillId="2" borderId="2" xfId="0" applyFont="1" applyFill="1" applyBorder="1" applyAlignment="1">
      <alignment horizontal="right"/>
    </xf>
    <xf numFmtId="0" fontId="47" fillId="0" borderId="8" xfId="0" applyFont="1" applyBorder="1" applyAlignment="1">
      <alignment horizontal="left"/>
    </xf>
    <xf numFmtId="10" fontId="48" fillId="0" borderId="2" xfId="1" applyNumberFormat="1" applyFont="1" applyBorder="1" applyAlignment="1">
      <alignment horizontal="right"/>
    </xf>
    <xf numFmtId="10" fontId="49" fillId="0" borderId="2" xfId="1" applyNumberFormat="1" applyFont="1" applyBorder="1" applyAlignment="1">
      <alignment horizontal="right"/>
    </xf>
    <xf numFmtId="10" fontId="50" fillId="0" borderId="2" xfId="1" applyNumberFormat="1" applyFont="1" applyBorder="1" applyAlignment="1">
      <alignment horizontal="right"/>
    </xf>
    <xf numFmtId="0" fontId="51" fillId="0" borderId="2" xfId="0" applyFont="1" applyBorder="1" applyAlignment="1">
      <alignment horizontal="right"/>
    </xf>
    <xf numFmtId="0" fontId="52" fillId="0" borderId="8" xfId="0" applyFont="1" applyBorder="1" applyAlignment="1">
      <alignment horizontal="left"/>
    </xf>
    <xf numFmtId="10" fontId="53" fillId="0" borderId="2" xfId="1" applyNumberFormat="1" applyFont="1" applyBorder="1" applyAlignment="1">
      <alignment horizontal="right"/>
    </xf>
    <xf numFmtId="10" fontId="54" fillId="0" borderId="2" xfId="1" applyNumberFormat="1" applyFont="1" applyBorder="1" applyAlignment="1">
      <alignment horizontal="right"/>
    </xf>
    <xf numFmtId="10" fontId="55" fillId="0" borderId="2" xfId="1" applyNumberFormat="1" applyFont="1" applyBorder="1" applyAlignment="1">
      <alignment horizontal="right"/>
    </xf>
    <xf numFmtId="0" fontId="56" fillId="0" borderId="2" xfId="0" applyFont="1" applyBorder="1" applyAlignment="1">
      <alignment horizontal="right"/>
    </xf>
    <xf numFmtId="0" fontId="57" fillId="2" borderId="8" xfId="0" applyFont="1" applyFill="1" applyBorder="1" applyAlignment="1">
      <alignment horizontal="left"/>
    </xf>
    <xf numFmtId="10" fontId="58" fillId="2" borderId="2" xfId="1" applyNumberFormat="1" applyFont="1" applyFill="1" applyBorder="1" applyAlignment="1">
      <alignment horizontal="right"/>
    </xf>
    <xf numFmtId="10" fontId="59" fillId="2" borderId="2" xfId="1" applyNumberFormat="1" applyFont="1" applyFill="1" applyBorder="1" applyAlignment="1">
      <alignment horizontal="right"/>
    </xf>
    <xf numFmtId="10" fontId="60" fillId="2" borderId="2" xfId="1" applyNumberFormat="1" applyFont="1" applyFill="1" applyBorder="1" applyAlignment="1">
      <alignment horizontal="right"/>
    </xf>
    <xf numFmtId="0" fontId="61" fillId="2" borderId="2" xfId="0" applyFont="1" applyFill="1" applyBorder="1" applyAlignment="1">
      <alignment horizontal="right"/>
    </xf>
    <xf numFmtId="0" fontId="62" fillId="0" borderId="8" xfId="0" applyFont="1" applyBorder="1" applyAlignment="1">
      <alignment horizontal="left"/>
    </xf>
    <xf numFmtId="10" fontId="63" fillId="0" borderId="2" xfId="1" applyNumberFormat="1" applyFont="1" applyBorder="1" applyAlignment="1">
      <alignment horizontal="right"/>
    </xf>
    <xf numFmtId="10" fontId="64" fillId="0" borderId="2" xfId="1" applyNumberFormat="1" applyFont="1" applyBorder="1" applyAlignment="1">
      <alignment horizontal="right"/>
    </xf>
    <xf numFmtId="10" fontId="65" fillId="0" borderId="2" xfId="1" applyNumberFormat="1" applyFont="1" applyBorder="1" applyAlignment="1">
      <alignment horizontal="right"/>
    </xf>
    <xf numFmtId="0" fontId="66" fillId="0" borderId="2" xfId="0" applyFont="1" applyBorder="1" applyAlignment="1">
      <alignment horizontal="right"/>
    </xf>
    <xf numFmtId="0" fontId="67" fillId="2" borderId="8" xfId="0" applyFont="1" applyFill="1" applyBorder="1" applyAlignment="1">
      <alignment horizontal="left"/>
    </xf>
    <xf numFmtId="10" fontId="68" fillId="2" borderId="2" xfId="1" applyNumberFormat="1" applyFont="1" applyFill="1" applyBorder="1" applyAlignment="1">
      <alignment horizontal="right"/>
    </xf>
    <xf numFmtId="10" fontId="69" fillId="2" borderId="2" xfId="1" applyNumberFormat="1" applyFont="1" applyFill="1" applyBorder="1" applyAlignment="1">
      <alignment horizontal="right"/>
    </xf>
    <xf numFmtId="10" fontId="70" fillId="2" borderId="2" xfId="1" applyNumberFormat="1" applyFont="1" applyFill="1" applyBorder="1" applyAlignment="1">
      <alignment horizontal="right"/>
    </xf>
    <xf numFmtId="0" fontId="71" fillId="2" borderId="2" xfId="0" applyFont="1" applyFill="1" applyBorder="1" applyAlignment="1">
      <alignment horizontal="right"/>
    </xf>
    <xf numFmtId="0" fontId="72" fillId="0" borderId="8" xfId="0" applyFont="1" applyBorder="1" applyAlignment="1">
      <alignment horizontal="left"/>
    </xf>
    <xf numFmtId="10" fontId="73" fillId="0" borderId="2" xfId="1" applyNumberFormat="1" applyFont="1" applyBorder="1" applyAlignment="1">
      <alignment horizontal="right"/>
    </xf>
    <xf numFmtId="10" fontId="74" fillId="0" borderId="2" xfId="1" applyNumberFormat="1" applyFont="1" applyBorder="1" applyAlignment="1">
      <alignment horizontal="right"/>
    </xf>
    <xf numFmtId="10" fontId="75" fillId="0" borderId="2" xfId="1" applyNumberFormat="1" applyFont="1" applyBorder="1" applyAlignment="1">
      <alignment horizontal="right"/>
    </xf>
    <xf numFmtId="0" fontId="76" fillId="0" borderId="2" xfId="0" applyFont="1" applyBorder="1" applyAlignment="1">
      <alignment horizontal="right"/>
    </xf>
    <xf numFmtId="0" fontId="77" fillId="0" borderId="8" xfId="0" applyFont="1" applyBorder="1" applyAlignment="1">
      <alignment horizontal="left"/>
    </xf>
    <xf numFmtId="10" fontId="78" fillId="0" borderId="2" xfId="1" applyNumberFormat="1" applyFont="1" applyBorder="1" applyAlignment="1">
      <alignment horizontal="right"/>
    </xf>
    <xf numFmtId="10" fontId="79" fillId="0" borderId="2" xfId="1" applyNumberFormat="1" applyFont="1" applyBorder="1" applyAlignment="1">
      <alignment horizontal="right"/>
    </xf>
    <xf numFmtId="10" fontId="80" fillId="0" borderId="2" xfId="1" applyNumberFormat="1" applyFont="1" applyBorder="1" applyAlignment="1">
      <alignment horizontal="right"/>
    </xf>
    <xf numFmtId="0" fontId="81" fillId="0" borderId="2" xfId="0" applyFont="1" applyBorder="1" applyAlignment="1">
      <alignment horizontal="right"/>
    </xf>
    <xf numFmtId="0" fontId="82" fillId="2" borderId="8" xfId="0" applyFont="1" applyFill="1" applyBorder="1" applyAlignment="1">
      <alignment horizontal="left"/>
    </xf>
    <xf numFmtId="10" fontId="83" fillId="2" borderId="2" xfId="1" applyNumberFormat="1" applyFont="1" applyFill="1" applyBorder="1" applyAlignment="1">
      <alignment horizontal="right"/>
    </xf>
    <xf numFmtId="10" fontId="84" fillId="2" borderId="2" xfId="1" applyNumberFormat="1" applyFont="1" applyFill="1" applyBorder="1" applyAlignment="1">
      <alignment horizontal="right"/>
    </xf>
    <xf numFmtId="10" fontId="85" fillId="2" borderId="2" xfId="1" applyNumberFormat="1" applyFont="1" applyFill="1" applyBorder="1" applyAlignment="1">
      <alignment horizontal="right"/>
    </xf>
    <xf numFmtId="0" fontId="86" fillId="2" borderId="2" xfId="0" applyFont="1" applyFill="1" applyBorder="1" applyAlignment="1">
      <alignment horizontal="right"/>
    </xf>
    <xf numFmtId="0" fontId="87" fillId="0" borderId="8" xfId="0" applyFont="1" applyBorder="1" applyAlignment="1">
      <alignment horizontal="left"/>
    </xf>
    <xf numFmtId="10" fontId="88" fillId="0" borderId="2" xfId="1" applyNumberFormat="1" applyFont="1" applyBorder="1" applyAlignment="1">
      <alignment horizontal="right"/>
    </xf>
    <xf numFmtId="10" fontId="89" fillId="0" borderId="2" xfId="1" applyNumberFormat="1" applyFont="1" applyBorder="1" applyAlignment="1">
      <alignment horizontal="right"/>
    </xf>
    <xf numFmtId="10" fontId="90" fillId="0" borderId="2" xfId="1" applyNumberFormat="1" applyFont="1" applyBorder="1" applyAlignment="1">
      <alignment horizontal="right"/>
    </xf>
    <xf numFmtId="0" fontId="91" fillId="0" borderId="2" xfId="0" applyFont="1" applyBorder="1" applyAlignment="1">
      <alignment horizontal="right"/>
    </xf>
    <xf numFmtId="0" fontId="92" fillId="0" borderId="8" xfId="0" applyFont="1" applyBorder="1" applyAlignment="1">
      <alignment horizontal="left"/>
    </xf>
    <xf numFmtId="10" fontId="93" fillId="0" borderId="2" xfId="1" applyNumberFormat="1" applyFont="1" applyBorder="1" applyAlignment="1">
      <alignment horizontal="right"/>
    </xf>
    <xf numFmtId="10" fontId="94" fillId="0" borderId="2" xfId="1" applyNumberFormat="1" applyFont="1" applyBorder="1" applyAlignment="1">
      <alignment horizontal="right"/>
    </xf>
    <xf numFmtId="10" fontId="95" fillId="0" borderId="2" xfId="1" applyNumberFormat="1" applyFont="1" applyBorder="1" applyAlignment="1">
      <alignment horizontal="right"/>
    </xf>
    <xf numFmtId="0" fontId="96" fillId="0" borderId="2" xfId="0" applyFont="1" applyBorder="1" applyAlignment="1">
      <alignment horizontal="right"/>
    </xf>
    <xf numFmtId="0" fontId="97" fillId="2" borderId="8" xfId="0" applyFont="1" applyFill="1" applyBorder="1" applyAlignment="1">
      <alignment horizontal="left"/>
    </xf>
    <xf numFmtId="10" fontId="98" fillId="2" borderId="2" xfId="1" applyNumberFormat="1" applyFont="1" applyFill="1" applyBorder="1" applyAlignment="1">
      <alignment horizontal="right"/>
    </xf>
    <xf numFmtId="10" fontId="99" fillId="2" borderId="2" xfId="1" applyNumberFormat="1" applyFont="1" applyFill="1" applyBorder="1" applyAlignment="1">
      <alignment horizontal="right"/>
    </xf>
    <xf numFmtId="10" fontId="100" fillId="2" borderId="2" xfId="1" applyNumberFormat="1" applyFont="1" applyFill="1" applyBorder="1" applyAlignment="1">
      <alignment horizontal="right"/>
    </xf>
    <xf numFmtId="0" fontId="101" fillId="2" borderId="2" xfId="0" applyFont="1" applyFill="1" applyBorder="1" applyAlignment="1">
      <alignment horizontal="right"/>
    </xf>
    <xf numFmtId="0" fontId="102" fillId="0" borderId="8" xfId="0" applyFont="1" applyBorder="1" applyAlignment="1">
      <alignment horizontal="left"/>
    </xf>
    <xf numFmtId="10" fontId="103" fillId="0" borderId="2" xfId="1" applyNumberFormat="1" applyFont="1" applyBorder="1" applyAlignment="1">
      <alignment horizontal="right"/>
    </xf>
    <xf numFmtId="10" fontId="104" fillId="0" borderId="2" xfId="1" applyNumberFormat="1" applyFont="1" applyBorder="1" applyAlignment="1">
      <alignment horizontal="right"/>
    </xf>
    <xf numFmtId="10" fontId="105" fillId="0" borderId="2" xfId="1" applyNumberFormat="1" applyFont="1" applyBorder="1" applyAlignment="1">
      <alignment horizontal="right"/>
    </xf>
    <xf numFmtId="0" fontId="106" fillId="0" borderId="2" xfId="0" applyFont="1" applyBorder="1" applyAlignment="1">
      <alignment horizontal="right"/>
    </xf>
    <xf numFmtId="0" fontId="107" fillId="0" borderId="8" xfId="0" applyFont="1" applyBorder="1" applyAlignment="1">
      <alignment horizontal="left"/>
    </xf>
    <xf numFmtId="10" fontId="108" fillId="0" borderId="2" xfId="1" applyNumberFormat="1" applyFont="1" applyBorder="1" applyAlignment="1">
      <alignment horizontal="right"/>
    </xf>
    <xf numFmtId="10" fontId="109" fillId="0" borderId="2" xfId="1" applyNumberFormat="1" applyFont="1" applyBorder="1" applyAlignment="1">
      <alignment horizontal="right"/>
    </xf>
    <xf numFmtId="10" fontId="110" fillId="0" borderId="2" xfId="1" applyNumberFormat="1" applyFont="1" applyBorder="1" applyAlignment="1">
      <alignment horizontal="right"/>
    </xf>
    <xf numFmtId="0" fontId="111" fillId="0" borderId="2" xfId="0" applyFont="1" applyBorder="1" applyAlignment="1">
      <alignment horizontal="right"/>
    </xf>
    <xf numFmtId="0" fontId="112" fillId="0" borderId="8" xfId="0" applyFont="1" applyBorder="1" applyAlignment="1">
      <alignment horizontal="left"/>
    </xf>
    <xf numFmtId="10" fontId="113" fillId="0" borderId="2" xfId="1" applyNumberFormat="1" applyFont="1" applyBorder="1" applyAlignment="1">
      <alignment horizontal="right"/>
    </xf>
    <xf numFmtId="10" fontId="114" fillId="0" borderId="2" xfId="1" applyNumberFormat="1" applyFont="1" applyBorder="1" applyAlignment="1">
      <alignment horizontal="right"/>
    </xf>
    <xf numFmtId="10" fontId="115" fillId="0" borderId="2" xfId="1" applyNumberFormat="1" applyFont="1" applyBorder="1" applyAlignment="1">
      <alignment horizontal="right"/>
    </xf>
    <xf numFmtId="0" fontId="116" fillId="0" borderId="2" xfId="0" applyFont="1" applyBorder="1" applyAlignment="1">
      <alignment horizontal="right"/>
    </xf>
    <xf numFmtId="0" fontId="117" fillId="0" borderId="8" xfId="0" applyFont="1" applyBorder="1" applyAlignment="1">
      <alignment horizontal="left"/>
    </xf>
    <xf numFmtId="10" fontId="118" fillId="0" borderId="2" xfId="1" applyNumberFormat="1" applyFont="1" applyBorder="1" applyAlignment="1">
      <alignment horizontal="right"/>
    </xf>
    <xf numFmtId="10" fontId="119" fillId="0" borderId="2" xfId="1" applyNumberFormat="1" applyFont="1" applyBorder="1" applyAlignment="1">
      <alignment horizontal="right"/>
    </xf>
    <xf numFmtId="10" fontId="120" fillId="0" borderId="2" xfId="1" applyNumberFormat="1" applyFont="1" applyBorder="1" applyAlignment="1">
      <alignment horizontal="right"/>
    </xf>
    <xf numFmtId="0" fontId="121" fillId="0" borderId="2" xfId="0" applyFont="1" applyBorder="1" applyAlignment="1">
      <alignment horizontal="right"/>
    </xf>
    <xf numFmtId="0" fontId="122" fillId="0" borderId="8" xfId="0" applyFont="1" applyBorder="1" applyAlignment="1">
      <alignment horizontal="left"/>
    </xf>
    <xf numFmtId="10" fontId="123" fillId="0" borderId="2" xfId="1" applyNumberFormat="1" applyFont="1" applyBorder="1" applyAlignment="1">
      <alignment horizontal="right"/>
    </xf>
    <xf numFmtId="10" fontId="124" fillId="0" borderId="2" xfId="1" applyNumberFormat="1" applyFont="1" applyBorder="1" applyAlignment="1">
      <alignment horizontal="right"/>
    </xf>
    <xf numFmtId="10" fontId="125" fillId="0" borderId="2" xfId="1" applyNumberFormat="1" applyFont="1" applyBorder="1" applyAlignment="1">
      <alignment horizontal="right"/>
    </xf>
    <xf numFmtId="0" fontId="126" fillId="0" borderId="2" xfId="0" applyFont="1" applyBorder="1" applyAlignment="1">
      <alignment horizontal="right"/>
    </xf>
    <xf numFmtId="0" fontId="127" fillId="0" borderId="11" xfId="0" applyFont="1" applyBorder="1" applyAlignment="1">
      <alignment horizontal="left"/>
    </xf>
    <xf numFmtId="10" fontId="128" fillId="0" borderId="12" xfId="1" applyNumberFormat="1" applyFont="1" applyBorder="1" applyAlignment="1">
      <alignment horizontal="right"/>
    </xf>
    <xf numFmtId="0" fontId="128" fillId="0" borderId="12" xfId="0" applyFont="1" applyBorder="1" applyAlignment="1">
      <alignment horizontal="right"/>
    </xf>
    <xf numFmtId="10" fontId="129" fillId="0" borderId="12" xfId="1" applyNumberFormat="1" applyFont="1" applyBorder="1" applyAlignment="1">
      <alignment horizontal="right"/>
    </xf>
    <xf numFmtId="164" fontId="129" fillId="0" borderId="12" xfId="1" applyNumberFormat="1" applyFont="1" applyBorder="1" applyAlignment="1">
      <alignment horizontal="right"/>
    </xf>
    <xf numFmtId="10" fontId="130" fillId="0" borderId="12" xfId="1" applyNumberFormat="1" applyFont="1" applyBorder="1" applyAlignment="1">
      <alignment horizontal="right"/>
    </xf>
    <xf numFmtId="0" fontId="130" fillId="0" borderId="12" xfId="0" applyFont="1" applyBorder="1" applyAlignment="1">
      <alignment horizontal="right"/>
    </xf>
    <xf numFmtId="0" fontId="131" fillId="0" borderId="12" xfId="0" applyFont="1" applyBorder="1" applyAlignment="1">
      <alignment horizontal="right"/>
    </xf>
    <xf numFmtId="0" fontId="0" fillId="0" borderId="13" xfId="0" applyBorder="1"/>
    <xf numFmtId="0" fontId="1" fillId="2" borderId="10" xfId="2" applyFill="1" applyBorder="1"/>
    <xf numFmtId="3" fontId="1" fillId="0" borderId="1" xfId="2" applyNumberFormat="1" applyBorder="1" applyAlignment="1">
      <alignment horizontal="right"/>
    </xf>
    <xf numFmtId="9" fontId="1" fillId="0" borderId="1" xfId="2" applyNumberFormat="1" applyBorder="1" applyAlignment="1">
      <alignment horizontal="right"/>
    </xf>
    <xf numFmtId="0" fontId="1" fillId="0" borderId="2" xfId="0" applyFont="1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1" fontId="1" fillId="0" borderId="1" xfId="1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9" fontId="5" fillId="0" borderId="1" xfId="1" applyFont="1" applyBorder="1" applyAlignment="1">
      <alignment horizontal="right"/>
    </xf>
    <xf numFmtId="9" fontId="4" fillId="0" borderId="1" xfId="1" applyFont="1" applyBorder="1" applyAlignment="1">
      <alignment horizontal="right"/>
    </xf>
    <xf numFmtId="0" fontId="1" fillId="0" borderId="8" xfId="0" applyFont="1" applyBorder="1"/>
    <xf numFmtId="0" fontId="1" fillId="0" borderId="10" xfId="0" applyFont="1" applyBorder="1"/>
    <xf numFmtId="0" fontId="0" fillId="0" borderId="8" xfId="0" applyBorder="1"/>
    <xf numFmtId="0" fontId="1" fillId="0" borderId="4" xfId="2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</cellXfs>
  <cellStyles count="4">
    <cellStyle name="Normal" xfId="0" builtinId="0"/>
    <cellStyle name="Normal 2" xfId="2" xr:uid="{2AB62044-90DD-EF41-A4F5-037846633D2A}"/>
    <cellStyle name="Percent" xfId="1" builtinId="5"/>
    <cellStyle name="Percent 2" xfId="3" xr:uid="{E6E19A26-A43D-2443-857C-FC1158A134B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zoomScaleNormal="100" workbookViewId="0">
      <selection activeCell="J3" sqref="J3"/>
    </sheetView>
  </sheetViews>
  <sheetFormatPr baseColWidth="10" defaultColWidth="8.83203125" defaultRowHeight="15" x14ac:dyDescent="0.2"/>
  <cols>
    <col min="1" max="1" width="46.1640625" bestFit="1" customWidth="1"/>
    <col min="2" max="2" width="17" bestFit="1" customWidth="1"/>
    <col min="3" max="3" width="6.83203125" customWidth="1"/>
    <col min="4" max="4" width="17.83203125" style="45" customWidth="1"/>
    <col min="5" max="5" width="8.83203125" customWidth="1"/>
    <col min="6" max="6" width="11.1640625" customWidth="1"/>
    <col min="7" max="7" width="11.5" customWidth="1"/>
    <col min="8" max="8" width="10.6640625" customWidth="1"/>
  </cols>
  <sheetData>
    <row r="1" spans="1:22" x14ac:dyDescent="0.2">
      <c r="A1" s="87"/>
      <c r="B1" s="250" t="s">
        <v>0</v>
      </c>
      <c r="C1" s="250"/>
      <c r="D1" s="250" t="s">
        <v>1</v>
      </c>
      <c r="E1" s="250"/>
      <c r="F1" s="250" t="s">
        <v>2</v>
      </c>
      <c r="G1" s="250"/>
      <c r="H1" s="88"/>
      <c r="I1" s="89"/>
      <c r="J1" s="251" t="s">
        <v>143</v>
      </c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3"/>
    </row>
    <row r="2" spans="1:22" x14ac:dyDescent="0.2">
      <c r="A2" s="92"/>
      <c r="B2" s="78" t="s">
        <v>41</v>
      </c>
      <c r="C2" s="78" t="s">
        <v>42</v>
      </c>
      <c r="D2" s="78" t="s">
        <v>41</v>
      </c>
      <c r="E2" s="78" t="s">
        <v>42</v>
      </c>
      <c r="F2" s="78" t="s">
        <v>41</v>
      </c>
      <c r="G2" s="78" t="s">
        <v>42</v>
      </c>
      <c r="H2" s="78" t="s">
        <v>3</v>
      </c>
      <c r="I2" s="93" t="s">
        <v>35</v>
      </c>
      <c r="J2" s="247" t="s">
        <v>130</v>
      </c>
      <c r="K2" s="239" t="s">
        <v>131</v>
      </c>
      <c r="L2" s="239" t="s">
        <v>132</v>
      </c>
      <c r="M2" s="239" t="s">
        <v>133</v>
      </c>
      <c r="N2" s="239" t="s">
        <v>134</v>
      </c>
      <c r="O2" s="239" t="s">
        <v>135</v>
      </c>
      <c r="P2" s="239" t="s">
        <v>136</v>
      </c>
      <c r="Q2" s="239" t="s">
        <v>137</v>
      </c>
      <c r="R2" s="239" t="s">
        <v>138</v>
      </c>
      <c r="S2" s="239" t="s">
        <v>142</v>
      </c>
      <c r="T2" s="239" t="s">
        <v>139</v>
      </c>
      <c r="U2" s="239" t="s">
        <v>140</v>
      </c>
      <c r="V2" s="248" t="s">
        <v>141</v>
      </c>
    </row>
    <row r="3" spans="1:22" x14ac:dyDescent="0.2">
      <c r="A3" s="103" t="s">
        <v>4</v>
      </c>
      <c r="B3" s="244">
        <v>3494</v>
      </c>
      <c r="C3" s="16">
        <v>0.47563</v>
      </c>
      <c r="D3" s="243">
        <v>3852</v>
      </c>
      <c r="E3" s="246">
        <v>0.52437</v>
      </c>
      <c r="F3" s="104">
        <v>7346</v>
      </c>
      <c r="G3" s="245">
        <v>1</v>
      </c>
      <c r="H3" s="1"/>
      <c r="I3" s="105"/>
      <c r="J3" s="249" t="str">
        <f>_xlfn.IFNA(VLOOKUP($A4,Argentina!$A:$I,9,FALSE)," ")</f>
        <v/>
      </c>
      <c r="K3" s="240" t="str">
        <f>_xlfn.IFNA(VLOOKUP($A4,Bolivia!$A:$I,9,FALSE)," ")</f>
        <v/>
      </c>
      <c r="L3" s="240" t="str">
        <f>_xlfn.IFNA(VLOOKUP($A4,Brazil!$A:$I,9,FALSE)," ")</f>
        <v/>
      </c>
      <c r="M3" s="240" t="str">
        <f>_xlfn.IFNA(VLOOKUP($A4,Chile!$A:$I,9,FALSE)," ")</f>
        <v/>
      </c>
      <c r="N3" s="240" t="str">
        <f>_xlfn.IFNA(VLOOKUP($A4,Colombia!$A:$I,9,FALSE)," ")</f>
        <v>***</v>
      </c>
      <c r="O3" s="240" t="str">
        <f>_xlfn.IFNA(VLOOKUP($A4,Ecuador!$A:$I,9,FALSE)," ")</f>
        <v/>
      </c>
      <c r="P3" s="240" t="str">
        <f>_xlfn.IFNA(VLOOKUP($A4,Guatemala!$A:$I,9,FALSE)," ")</f>
        <v/>
      </c>
      <c r="Q3" s="240" t="str">
        <f>_xlfn.IFNA(VLOOKUP($A4,Mexico!$A:$I,9,FALSE)," ")</f>
        <v/>
      </c>
      <c r="R3" s="240" t="str">
        <f>_xlfn.IFNA(VLOOKUP($A4,Nicaragua!$A:$I,9,FALSE)," ")</f>
        <v/>
      </c>
      <c r="S3" s="240" t="str">
        <f>_xlfn.IFNA(VLOOKUP($A4,Peru!$A:$I,9,FALSE)," ")</f>
        <v/>
      </c>
      <c r="T3" s="240" t="str">
        <f>_xlfn.IFNA(VLOOKUP($A4,PuertoRico!$A:$I,9,FALSE)," ")</f>
        <v/>
      </c>
      <c r="U3" s="240" t="str">
        <f>_xlfn.IFNA(VLOOKUP($A4,Uruguay!$A:$I,9,FALSE)," ")</f>
        <v/>
      </c>
      <c r="V3" s="105" t="str">
        <f>_xlfn.IFNA(VLOOKUP($A4,Venezuela!$A:$I,9,FALSE)," ")</f>
        <v/>
      </c>
    </row>
    <row r="4" spans="1:22" x14ac:dyDescent="0.2">
      <c r="A4" s="106" t="s">
        <v>7</v>
      </c>
      <c r="B4" s="107">
        <v>0.82799999999999996</v>
      </c>
      <c r="C4" s="46">
        <v>0.377</v>
      </c>
      <c r="D4" s="108">
        <v>0.84899999999999998</v>
      </c>
      <c r="E4" s="47">
        <v>0.35799999999999998</v>
      </c>
      <c r="F4" s="109">
        <v>0.83899999999999997</v>
      </c>
      <c r="G4" s="48">
        <v>0.36799999999999999</v>
      </c>
      <c r="H4" s="110">
        <v>1.4999999999999999E-2</v>
      </c>
      <c r="I4" s="111" t="str">
        <f t="shared" ref="I4:I28" si="0">IF(H4&gt;0.1,"",
   IF(AND(H4&lt;=0.1,H4&gt;0.05),"*",
      IF(AND(H4&lt;=0.05,H4&gt;0.01),"**",
         IF(H4&lt;=0.01,"***",""))))</f>
        <v>**</v>
      </c>
      <c r="J4" s="249" t="str">
        <f>_xlfn.IFNA(VLOOKUP(A5,Argentina!A:I,9,FALSE)," ")</f>
        <v/>
      </c>
      <c r="K4" s="240" t="str">
        <f>_xlfn.IFNA(VLOOKUP($A5,Bolivia!$A:$I,9,FALSE)," ")</f>
        <v/>
      </c>
      <c r="L4" s="240" t="str">
        <f>_xlfn.IFNA(VLOOKUP($A5,Brazil!$A:$I,9,FALSE)," ")</f>
        <v/>
      </c>
      <c r="M4" s="240" t="str">
        <f>_xlfn.IFNA(VLOOKUP($A5,Chile!$A:$I,9,FALSE)," ")</f>
        <v/>
      </c>
      <c r="N4" s="240" t="str">
        <f>_xlfn.IFNA(VLOOKUP($A5,Colombia!$A:$I,9,FALSE)," ")</f>
        <v/>
      </c>
      <c r="O4" s="240" t="str">
        <f>_xlfn.IFNA(VLOOKUP($A5,Ecuador!$A:$I,9,FALSE)," ")</f>
        <v>**</v>
      </c>
      <c r="P4" s="240" t="str">
        <f>_xlfn.IFNA(VLOOKUP($A5,Guatemala!$A:$I,9,FALSE)," ")</f>
        <v>***</v>
      </c>
      <c r="Q4" s="240" t="str">
        <f>_xlfn.IFNA(VLOOKUP($A5,Mexico!$A:$I,9,FALSE)," ")</f>
        <v/>
      </c>
      <c r="R4" s="240" t="str">
        <f>_xlfn.IFNA(VLOOKUP($A5,Nicaragua!$A:$I,9,FALSE)," ")</f>
        <v/>
      </c>
      <c r="S4" s="240" t="str">
        <f>_xlfn.IFNA(VLOOKUP($A5,Peru!$A:$I,9,FALSE)," ")</f>
        <v/>
      </c>
      <c r="T4" s="240" t="str">
        <f>_xlfn.IFNA(VLOOKUP($A5,PuertoRico!$A:$I,9,FALSE)," ")</f>
        <v/>
      </c>
      <c r="U4" s="240" t="str">
        <f>_xlfn.IFNA(VLOOKUP($A5,Uruguay!$A:$I,9,FALSE)," ")</f>
        <v/>
      </c>
      <c r="V4" s="105" t="str">
        <f>_xlfn.IFNA(VLOOKUP($A5,Venezuela!$A:$I,9,FALSE)," ")</f>
        <v/>
      </c>
    </row>
    <row r="5" spans="1:22" x14ac:dyDescent="0.2">
      <c r="A5" s="112" t="s">
        <v>8</v>
      </c>
      <c r="B5" s="113">
        <v>0.79600000000000004</v>
      </c>
      <c r="C5" s="2">
        <v>0.40300000000000002</v>
      </c>
      <c r="D5" s="114">
        <v>0.80700000000000005</v>
      </c>
      <c r="E5" s="31">
        <v>0.39500000000000002</v>
      </c>
      <c r="F5" s="115">
        <v>0.80200000000000005</v>
      </c>
      <c r="G5" s="17">
        <v>0.39800000000000002</v>
      </c>
      <c r="H5" s="116">
        <v>0.249</v>
      </c>
      <c r="I5" s="105" t="str">
        <f t="shared" si="0"/>
        <v/>
      </c>
      <c r="J5" s="249" t="str">
        <f>_xlfn.IFNA(VLOOKUP(A6,Argentina!A:I,9,FALSE)," ")</f>
        <v/>
      </c>
      <c r="K5" s="240" t="str">
        <f>_xlfn.IFNA(VLOOKUP($A6,Bolivia!$A:$I,9,FALSE)," ")</f>
        <v/>
      </c>
      <c r="L5" s="240" t="str">
        <f>_xlfn.IFNA(VLOOKUP($A6,Brazil!$A:$I,9,FALSE)," ")</f>
        <v/>
      </c>
      <c r="M5" s="240" t="str">
        <f>_xlfn.IFNA(VLOOKUP($A6,Chile!$A:$I,9,FALSE)," ")</f>
        <v/>
      </c>
      <c r="N5" s="240" t="str">
        <f>_xlfn.IFNA(VLOOKUP($A6,Colombia!$A:$I,9,FALSE)," ")</f>
        <v>**</v>
      </c>
      <c r="O5" s="240" t="str">
        <f>_xlfn.IFNA(VLOOKUP($A6,Ecuador!$A:$I,9,FALSE)," ")</f>
        <v/>
      </c>
      <c r="P5" s="240" t="str">
        <f>_xlfn.IFNA(VLOOKUP($A6,Guatemala!$A:$I,9,FALSE)," ")</f>
        <v/>
      </c>
      <c r="Q5" s="240" t="str">
        <f>_xlfn.IFNA(VLOOKUP($A6,Mexico!$A:$I,9,FALSE)," ")</f>
        <v>*</v>
      </c>
      <c r="R5" s="240" t="str">
        <f>_xlfn.IFNA(VLOOKUP($A6,Nicaragua!$A:$I,9,FALSE)," ")</f>
        <v/>
      </c>
      <c r="S5" s="240" t="str">
        <f>_xlfn.IFNA(VLOOKUP($A6,Peru!$A:$I,9,FALSE)," ")</f>
        <v/>
      </c>
      <c r="T5" s="240" t="str">
        <f>_xlfn.IFNA(VLOOKUP($A6,PuertoRico!$A:$I,9,FALSE)," ")</f>
        <v/>
      </c>
      <c r="U5" s="240" t="str">
        <f>_xlfn.IFNA(VLOOKUP($A6,Uruguay!$A:$I,9,FALSE)," ")</f>
        <v/>
      </c>
      <c r="V5" s="105" t="str">
        <f>_xlfn.IFNA(VLOOKUP($A6,Venezuela!$A:$I,9,FALSE)," ")</f>
        <v/>
      </c>
    </row>
    <row r="6" spans="1:22" x14ac:dyDescent="0.2">
      <c r="A6" s="117" t="s">
        <v>9</v>
      </c>
      <c r="B6" s="118">
        <v>0.92600000000000005</v>
      </c>
      <c r="C6" s="49">
        <v>0.26200000000000001</v>
      </c>
      <c r="D6" s="119">
        <v>0.94199999999999995</v>
      </c>
      <c r="E6" s="50">
        <v>0.23400000000000001</v>
      </c>
      <c r="F6" s="120">
        <v>0.93400000000000005</v>
      </c>
      <c r="G6" s="51">
        <v>0.248</v>
      </c>
      <c r="H6" s="121">
        <v>6.0000000000000001E-3</v>
      </c>
      <c r="I6" s="111" t="str">
        <f t="shared" si="0"/>
        <v>***</v>
      </c>
      <c r="J6" s="249" t="str">
        <f>_xlfn.IFNA(VLOOKUP(A7,Argentina!A:I,9,FALSE)," ")</f>
        <v/>
      </c>
      <c r="K6" s="240" t="str">
        <f>_xlfn.IFNA(VLOOKUP($A7,Bolivia!$A:$I,9,FALSE)," ")</f>
        <v>***</v>
      </c>
      <c r="L6" s="240" t="str">
        <f>_xlfn.IFNA(VLOOKUP($A7,Brazil!$A:$I,9,FALSE)," ")</f>
        <v/>
      </c>
      <c r="M6" s="240" t="str">
        <f>_xlfn.IFNA(VLOOKUP($A7,Chile!$A:$I,9,FALSE)," ")</f>
        <v/>
      </c>
      <c r="N6" s="240" t="str">
        <f>_xlfn.IFNA(VLOOKUP($A7,Colombia!$A:$I,9,FALSE)," ")</f>
        <v/>
      </c>
      <c r="O6" s="240" t="str">
        <f>_xlfn.IFNA(VLOOKUP($A7,Ecuador!$A:$I,9,FALSE)," ")</f>
        <v>***</v>
      </c>
      <c r="P6" s="240" t="str">
        <f>_xlfn.IFNA(VLOOKUP($A7,Guatemala!$A:$I,9,FALSE)," ")</f>
        <v/>
      </c>
      <c r="Q6" s="240" t="str">
        <f>_xlfn.IFNA(VLOOKUP($A7,Mexico!$A:$I,9,FALSE)," ")</f>
        <v/>
      </c>
      <c r="R6" s="240" t="str">
        <f>_xlfn.IFNA(VLOOKUP($A7,Nicaragua!$A:$I,9,FALSE)," ")</f>
        <v/>
      </c>
      <c r="S6" s="240" t="str">
        <f>_xlfn.IFNA(VLOOKUP($A7,Peru!$A:$I,9,FALSE)," ")</f>
        <v/>
      </c>
      <c r="T6" s="240" t="str">
        <f>_xlfn.IFNA(VLOOKUP($A7,PuertoRico!$A:$I,9,FALSE)," ")</f>
        <v/>
      </c>
      <c r="U6" s="240" t="str">
        <f>_xlfn.IFNA(VLOOKUP($A7,Uruguay!$A:$I,9,FALSE)," ")</f>
        <v/>
      </c>
      <c r="V6" s="105" t="str">
        <f>_xlfn.IFNA(VLOOKUP($A7,Venezuela!$A:$I,9,FALSE)," ")</f>
        <v/>
      </c>
    </row>
    <row r="7" spans="1:22" x14ac:dyDescent="0.2">
      <c r="A7" s="122" t="s">
        <v>10</v>
      </c>
      <c r="B7" s="123">
        <v>0.14899999999999999</v>
      </c>
      <c r="C7" s="52">
        <v>0.35599999999999998</v>
      </c>
      <c r="D7" s="124">
        <v>0.127</v>
      </c>
      <c r="E7" s="53">
        <v>0.33300000000000002</v>
      </c>
      <c r="F7" s="125">
        <v>0.13800000000000001</v>
      </c>
      <c r="G7" s="54">
        <v>0.34499999999999997</v>
      </c>
      <c r="H7" s="126">
        <v>7.0000000000000001E-3</v>
      </c>
      <c r="I7" s="111" t="str">
        <f t="shared" si="0"/>
        <v>***</v>
      </c>
      <c r="J7" s="249" t="str">
        <f>_xlfn.IFNA(VLOOKUP(A8,Argentina!A:I,9,FALSE)," ")</f>
        <v/>
      </c>
      <c r="K7" s="240" t="str">
        <f>_xlfn.IFNA(VLOOKUP($A8,Bolivia!$A:$I,9,FALSE)," ")</f>
        <v/>
      </c>
      <c r="L7" s="240" t="str">
        <f>_xlfn.IFNA(VLOOKUP($A8,Brazil!$A:$I,9,FALSE)," ")</f>
        <v/>
      </c>
      <c r="M7" s="240" t="str">
        <f>_xlfn.IFNA(VLOOKUP($A8,Chile!$A:$I,9,FALSE)," ")</f>
        <v/>
      </c>
      <c r="N7" s="240" t="str">
        <f>_xlfn.IFNA(VLOOKUP($A8,Colombia!$A:$I,9,FALSE)," ")</f>
        <v>*</v>
      </c>
      <c r="O7" s="240" t="str">
        <f>_xlfn.IFNA(VLOOKUP($A8,Ecuador!$A:$I,9,FALSE)," ")</f>
        <v/>
      </c>
      <c r="P7" s="240" t="str">
        <f>_xlfn.IFNA(VLOOKUP($A8,Guatemala!$A:$I,9,FALSE)," ")</f>
        <v/>
      </c>
      <c r="Q7" s="240" t="str">
        <f>_xlfn.IFNA(VLOOKUP($A8,Mexico!$A:$I,9,FALSE)," ")</f>
        <v/>
      </c>
      <c r="R7" s="240" t="str">
        <f>_xlfn.IFNA(VLOOKUP($A8,Nicaragua!$A:$I,9,FALSE)," ")</f>
        <v/>
      </c>
      <c r="S7" s="240" t="str">
        <f>_xlfn.IFNA(VLOOKUP($A8,Peru!$A:$I,9,FALSE)," ")</f>
        <v/>
      </c>
      <c r="T7" s="240" t="str">
        <f>_xlfn.IFNA(VLOOKUP($A8,PuertoRico!$A:$I,9,FALSE)," ")</f>
        <v/>
      </c>
      <c r="U7" s="240" t="str">
        <f>_xlfn.IFNA(VLOOKUP($A8,Uruguay!$A:$I,9,FALSE)," ")</f>
        <v/>
      </c>
      <c r="V7" s="105" t="str">
        <f>_xlfn.IFNA(VLOOKUP($A8,Venezuela!$A:$I,9,FALSE)," ")</f>
        <v/>
      </c>
    </row>
    <row r="8" spans="1:22" x14ac:dyDescent="0.2">
      <c r="A8" s="127" t="s">
        <v>11</v>
      </c>
      <c r="B8" s="128">
        <v>0.84099999999999997</v>
      </c>
      <c r="C8" s="55">
        <v>0.36599999999999999</v>
      </c>
      <c r="D8" s="129">
        <v>0.82399999999999995</v>
      </c>
      <c r="E8" s="56">
        <v>0.38100000000000001</v>
      </c>
      <c r="F8" s="130">
        <v>0.83199999999999996</v>
      </c>
      <c r="G8" s="57">
        <v>0.374</v>
      </c>
      <c r="H8" s="131">
        <v>5.8999999999999997E-2</v>
      </c>
      <c r="I8" s="111" t="str">
        <f t="shared" si="0"/>
        <v>*</v>
      </c>
      <c r="J8" s="249" t="str">
        <f>_xlfn.IFNA(VLOOKUP(A9,Argentina!A:I,9,FALSE)," ")</f>
        <v/>
      </c>
      <c r="K8" s="240" t="str">
        <f>_xlfn.IFNA(VLOOKUP($A9,Bolivia!$A:$I,9,FALSE)," ")</f>
        <v>**</v>
      </c>
      <c r="L8" s="240" t="str">
        <f>_xlfn.IFNA(VLOOKUP($A9,Brazil!$A:$I,9,FALSE)," ")</f>
        <v>*</v>
      </c>
      <c r="M8" s="240" t="str">
        <f>_xlfn.IFNA(VLOOKUP($A9,Chile!$A:$I,9,FALSE)," ")</f>
        <v>*</v>
      </c>
      <c r="N8" s="240" t="str">
        <f>_xlfn.IFNA(VLOOKUP($A9,Colombia!$A:$I,9,FALSE)," ")</f>
        <v/>
      </c>
      <c r="O8" s="240" t="str">
        <f>_xlfn.IFNA(VLOOKUP($A9,Ecuador!$A:$I,9,FALSE)," ")</f>
        <v/>
      </c>
      <c r="P8" s="240" t="str">
        <f>_xlfn.IFNA(VLOOKUP($A9,Guatemala!$A:$I,9,FALSE)," ")</f>
        <v>**</v>
      </c>
      <c r="Q8" s="240" t="str">
        <f>_xlfn.IFNA(VLOOKUP($A9,Mexico!$A:$I,9,FALSE)," ")</f>
        <v/>
      </c>
      <c r="R8" s="240" t="str">
        <f>_xlfn.IFNA(VLOOKUP($A9,Nicaragua!$A:$I,9,FALSE)," ")</f>
        <v/>
      </c>
      <c r="S8" s="240" t="str">
        <f>_xlfn.IFNA(VLOOKUP($A9,Peru!$A:$I,9,FALSE)," ")</f>
        <v/>
      </c>
      <c r="T8" s="240" t="str">
        <f>_xlfn.IFNA(VLOOKUP($A9,PuertoRico!$A:$I,9,FALSE)," ")</f>
        <v/>
      </c>
      <c r="U8" s="240" t="str">
        <f>_xlfn.IFNA(VLOOKUP($A9,Uruguay!$A:$I,9,FALSE)," ")</f>
        <v/>
      </c>
      <c r="V8" s="105" t="str">
        <f>_xlfn.IFNA(VLOOKUP($A9,Venezuela!$A:$I,9,FALSE)," ")</f>
        <v/>
      </c>
    </row>
    <row r="9" spans="1:22" x14ac:dyDescent="0.2">
      <c r="A9" s="132" t="s">
        <v>12</v>
      </c>
      <c r="B9" s="133">
        <v>0.65500000000000003</v>
      </c>
      <c r="C9" s="3">
        <v>0.47499999999999998</v>
      </c>
      <c r="D9" s="134">
        <v>0.65200000000000002</v>
      </c>
      <c r="E9" s="32">
        <v>0.47599999999999998</v>
      </c>
      <c r="F9" s="135">
        <v>0.65300000000000002</v>
      </c>
      <c r="G9" s="18">
        <v>0.47599999999999998</v>
      </c>
      <c r="H9" s="136">
        <v>0.77400000000000002</v>
      </c>
      <c r="I9" s="105" t="str">
        <f t="shared" si="0"/>
        <v/>
      </c>
      <c r="J9" s="249" t="str">
        <f>_xlfn.IFNA(VLOOKUP(A10,Argentina!A:I,9,FALSE)," ")</f>
        <v/>
      </c>
      <c r="K9" s="240" t="str">
        <f>_xlfn.IFNA(VLOOKUP($A10,Bolivia!$A:$I,9,FALSE)," ")</f>
        <v>*</v>
      </c>
      <c r="L9" s="240" t="str">
        <f>_xlfn.IFNA(VLOOKUP($A10,Brazil!$A:$I,9,FALSE)," ")</f>
        <v>***</v>
      </c>
      <c r="M9" s="240" t="str">
        <f>_xlfn.IFNA(VLOOKUP($A10,Chile!$A:$I,9,FALSE)," ")</f>
        <v/>
      </c>
      <c r="N9" s="240" t="str">
        <f>_xlfn.IFNA(VLOOKUP($A10,Colombia!$A:$I,9,FALSE)," ")</f>
        <v/>
      </c>
      <c r="O9" s="240" t="str">
        <f>_xlfn.IFNA(VLOOKUP($A10,Ecuador!$A:$I,9,FALSE)," ")</f>
        <v>*</v>
      </c>
      <c r="P9" s="240" t="str">
        <f>_xlfn.IFNA(VLOOKUP($A10,Guatemala!$A:$I,9,FALSE)," ")</f>
        <v>*</v>
      </c>
      <c r="Q9" s="240" t="str">
        <f>_xlfn.IFNA(VLOOKUP($A10,Mexico!$A:$I,9,FALSE)," ")</f>
        <v/>
      </c>
      <c r="R9" s="240" t="str">
        <f>_xlfn.IFNA(VLOOKUP($A10,Nicaragua!$A:$I,9,FALSE)," ")</f>
        <v/>
      </c>
      <c r="S9" s="240" t="str">
        <f>_xlfn.IFNA(VLOOKUP($A10,Peru!$A:$I,9,FALSE)," ")</f>
        <v/>
      </c>
      <c r="T9" s="240" t="str">
        <f>_xlfn.IFNA(VLOOKUP($A10,PuertoRico!$A:$I,9,FALSE)," ")</f>
        <v/>
      </c>
      <c r="U9" s="240" t="str">
        <f>_xlfn.IFNA(VLOOKUP($A10,Uruguay!$A:$I,9,FALSE)," ")</f>
        <v/>
      </c>
      <c r="V9" s="105" t="str">
        <f>_xlfn.IFNA(VLOOKUP($A10,Venezuela!$A:$I,9,FALSE)," ")</f>
        <v/>
      </c>
    </row>
    <row r="10" spans="1:22" x14ac:dyDescent="0.2">
      <c r="A10" s="137" t="s">
        <v>13</v>
      </c>
      <c r="B10" s="138">
        <v>0.88700000000000001</v>
      </c>
      <c r="C10" s="58">
        <v>0.317</v>
      </c>
      <c r="D10" s="139">
        <v>0.90600000000000003</v>
      </c>
      <c r="E10" s="59">
        <v>0.29199999999999998</v>
      </c>
      <c r="F10" s="140">
        <v>0.89700000000000002</v>
      </c>
      <c r="G10" s="60">
        <v>0.30399999999999999</v>
      </c>
      <c r="H10" s="141">
        <v>7.0000000000000001E-3</v>
      </c>
      <c r="I10" s="111" t="str">
        <f t="shared" si="0"/>
        <v>***</v>
      </c>
      <c r="J10" s="249" t="str">
        <f>_xlfn.IFNA(VLOOKUP(A11,Argentina!A:I,9,FALSE)," ")</f>
        <v/>
      </c>
      <c r="K10" s="240" t="str">
        <f>_xlfn.IFNA(VLOOKUP($A11,Bolivia!$A:$I,9,FALSE)," ")</f>
        <v/>
      </c>
      <c r="L10" s="240" t="str">
        <f>_xlfn.IFNA(VLOOKUP($A11,Brazil!$A:$I,9,FALSE)," ")</f>
        <v/>
      </c>
      <c r="M10" s="240" t="str">
        <f>_xlfn.IFNA(VLOOKUP($A11,Chile!$A:$I,9,FALSE)," ")</f>
        <v/>
      </c>
      <c r="N10" s="240" t="str">
        <f>_xlfn.IFNA(VLOOKUP($A11,Colombia!$A:$I,9,FALSE)," ")</f>
        <v>**</v>
      </c>
      <c r="O10" s="240" t="str">
        <f>_xlfn.IFNA(VLOOKUP($A11,Ecuador!$A:$I,9,FALSE)," ")</f>
        <v/>
      </c>
      <c r="P10" s="240" t="str">
        <f>_xlfn.IFNA(VLOOKUP($A11,Guatemala!$A:$I,9,FALSE)," ")</f>
        <v/>
      </c>
      <c r="Q10" s="240" t="str">
        <f>_xlfn.IFNA(VLOOKUP($A11,Mexico!$A:$I,9,FALSE)," ")</f>
        <v>*</v>
      </c>
      <c r="R10" s="240" t="str">
        <f>_xlfn.IFNA(VLOOKUP($A11,Nicaragua!$A:$I,9,FALSE)," ")</f>
        <v/>
      </c>
      <c r="S10" s="240" t="str">
        <f>_xlfn.IFNA(VLOOKUP($A11,Peru!$A:$I,9,FALSE)," ")</f>
        <v/>
      </c>
      <c r="T10" s="240" t="str">
        <f>_xlfn.IFNA(VLOOKUP($A11,PuertoRico!$A:$I,9,FALSE)," ")</f>
        <v/>
      </c>
      <c r="U10" s="240" t="str">
        <f>_xlfn.IFNA(VLOOKUP($A11,Uruguay!$A:$I,9,FALSE)," ")</f>
        <v/>
      </c>
      <c r="V10" s="105" t="str">
        <f>_xlfn.IFNA(VLOOKUP($A11,Venezuela!$A:$I,9,FALSE)," ")</f>
        <v/>
      </c>
    </row>
    <row r="11" spans="1:22" x14ac:dyDescent="0.2">
      <c r="A11" s="142" t="s">
        <v>14</v>
      </c>
      <c r="B11" s="143">
        <v>0.88500000000000001</v>
      </c>
      <c r="C11" s="61">
        <v>0.31900000000000001</v>
      </c>
      <c r="D11" s="144">
        <v>0.90500000000000003</v>
      </c>
      <c r="E11" s="62">
        <v>0.29399999999999998</v>
      </c>
      <c r="F11" s="145">
        <v>0.89500000000000002</v>
      </c>
      <c r="G11" s="63">
        <v>0.30599999999999999</v>
      </c>
      <c r="H11" s="146">
        <v>8.0000000000000002E-3</v>
      </c>
      <c r="I11" s="111" t="str">
        <f t="shared" si="0"/>
        <v>***</v>
      </c>
      <c r="J11" s="249" t="str">
        <f>_xlfn.IFNA(VLOOKUP(A12,Argentina!A:I,9,FALSE)," ")</f>
        <v/>
      </c>
      <c r="K11" s="240" t="str">
        <f>_xlfn.IFNA(VLOOKUP($A12,Bolivia!$A:$I,9,FALSE)," ")</f>
        <v>**</v>
      </c>
      <c r="L11" s="240" t="str">
        <f>_xlfn.IFNA(VLOOKUP($A12,Brazil!$A:$I,9,FALSE)," ")</f>
        <v/>
      </c>
      <c r="M11" s="240" t="str">
        <f>_xlfn.IFNA(VLOOKUP($A12,Chile!$A:$I,9,FALSE)," ")</f>
        <v/>
      </c>
      <c r="N11" s="240" t="str">
        <f>_xlfn.IFNA(VLOOKUP($A12,Colombia!$A:$I,9,FALSE)," ")</f>
        <v>*</v>
      </c>
      <c r="O11" s="240" t="str">
        <f>_xlfn.IFNA(VLOOKUP($A12,Ecuador!$A:$I,9,FALSE)," ")</f>
        <v>**</v>
      </c>
      <c r="P11" s="240" t="str">
        <f>_xlfn.IFNA(VLOOKUP($A12,Guatemala!$A:$I,9,FALSE)," ")</f>
        <v/>
      </c>
      <c r="Q11" s="240" t="str">
        <f>_xlfn.IFNA(VLOOKUP($A12,Mexico!$A:$I,9,FALSE)," ")</f>
        <v/>
      </c>
      <c r="R11" s="240" t="str">
        <f>_xlfn.IFNA(VLOOKUP($A12,Nicaragua!$A:$I,9,FALSE)," ")</f>
        <v/>
      </c>
      <c r="S11" s="240" t="str">
        <f>_xlfn.IFNA(VLOOKUP($A12,Peru!$A:$I,9,FALSE)," ")</f>
        <v/>
      </c>
      <c r="T11" s="240" t="str">
        <f>_xlfn.IFNA(VLOOKUP($A12,PuertoRico!$A:$I,9,FALSE)," ")</f>
        <v/>
      </c>
      <c r="U11" s="240" t="str">
        <f>_xlfn.IFNA(VLOOKUP($A12,Uruguay!$A:$I,9,FALSE)," ")</f>
        <v/>
      </c>
      <c r="V11" s="105" t="str">
        <f>_xlfn.IFNA(VLOOKUP($A12,Venezuela!$A:$I,9,FALSE)," ")</f>
        <v>***</v>
      </c>
    </row>
    <row r="12" spans="1:22" x14ac:dyDescent="0.2">
      <c r="A12" s="147" t="s">
        <v>15</v>
      </c>
      <c r="B12" s="148">
        <v>0.189</v>
      </c>
      <c r="C12" s="4">
        <v>0.39200000000000002</v>
      </c>
      <c r="D12" s="149">
        <v>0.18</v>
      </c>
      <c r="E12" s="33">
        <v>0.38400000000000001</v>
      </c>
      <c r="F12" s="150">
        <v>0.184</v>
      </c>
      <c r="G12" s="19">
        <v>0.38800000000000001</v>
      </c>
      <c r="H12" s="151">
        <v>0.32500000000000001</v>
      </c>
      <c r="I12" s="105" t="str">
        <f t="shared" si="0"/>
        <v/>
      </c>
      <c r="J12" s="249" t="str">
        <f>_xlfn.IFNA(VLOOKUP(A13,Argentina!A:I,9,FALSE)," ")</f>
        <v/>
      </c>
      <c r="K12" s="240" t="str">
        <f>_xlfn.IFNA(VLOOKUP($A13,Bolivia!$A:$I,9,FALSE)," ")</f>
        <v>**</v>
      </c>
      <c r="L12" s="240" t="str">
        <f>_xlfn.IFNA(VLOOKUP($A13,Brazil!$A:$I,9,FALSE)," ")</f>
        <v>**</v>
      </c>
      <c r="M12" s="240" t="str">
        <f>_xlfn.IFNA(VLOOKUP($A13,Chile!$A:$I,9,FALSE)," ")</f>
        <v/>
      </c>
      <c r="N12" s="240" t="str">
        <f>_xlfn.IFNA(VLOOKUP($A13,Colombia!$A:$I,9,FALSE)," ")</f>
        <v>**</v>
      </c>
      <c r="O12" s="240" t="str">
        <f>_xlfn.IFNA(VLOOKUP($A13,Ecuador!$A:$I,9,FALSE)," ")</f>
        <v/>
      </c>
      <c r="P12" s="240" t="str">
        <f>_xlfn.IFNA(VLOOKUP($A13,Guatemala!$A:$I,9,FALSE)," ")</f>
        <v/>
      </c>
      <c r="Q12" s="240" t="str">
        <f>_xlfn.IFNA(VLOOKUP($A13,Mexico!$A:$I,9,FALSE)," ")</f>
        <v/>
      </c>
      <c r="R12" s="240" t="str">
        <f>_xlfn.IFNA(VLOOKUP($A13,Nicaragua!$A:$I,9,FALSE)," ")</f>
        <v/>
      </c>
      <c r="S12" s="240" t="str">
        <f>_xlfn.IFNA(VLOOKUP($A13,Peru!$A:$I,9,FALSE)," ")</f>
        <v>***</v>
      </c>
      <c r="T12" s="240" t="str">
        <f>_xlfn.IFNA(VLOOKUP($A13,PuertoRico!$A:$I,9,FALSE)," ")</f>
        <v/>
      </c>
      <c r="U12" s="240" t="str">
        <f>_xlfn.IFNA(VLOOKUP($A13,Uruguay!$A:$I,9,FALSE)," ")</f>
        <v/>
      </c>
      <c r="V12" s="105" t="str">
        <f>_xlfn.IFNA(VLOOKUP($A13,Venezuela!$A:$I,9,FALSE)," ")</f>
        <v/>
      </c>
    </row>
    <row r="13" spans="1:22" x14ac:dyDescent="0.2">
      <c r="A13" s="152" t="s">
        <v>16</v>
      </c>
      <c r="B13" s="153">
        <v>0.90600000000000003</v>
      </c>
      <c r="C13" s="5">
        <v>0.29199999999999998</v>
      </c>
      <c r="D13" s="154">
        <v>0.93</v>
      </c>
      <c r="E13" s="34">
        <v>0.254</v>
      </c>
      <c r="F13" s="155">
        <v>0.91900000000000004</v>
      </c>
      <c r="G13" s="20">
        <v>0.27400000000000002</v>
      </c>
      <c r="H13" s="156" t="s">
        <v>5</v>
      </c>
      <c r="I13" s="105" t="str">
        <f t="shared" si="0"/>
        <v/>
      </c>
      <c r="J13" s="249" t="str">
        <f>_xlfn.IFNA(VLOOKUP(A14,Argentina!A:I,9,FALSE)," ")</f>
        <v/>
      </c>
      <c r="K13" s="240" t="str">
        <f>_xlfn.IFNA(VLOOKUP($A14,Bolivia!$A:$I,9,FALSE)," ")</f>
        <v>**</v>
      </c>
      <c r="L13" s="240" t="str">
        <f>_xlfn.IFNA(VLOOKUP($A14,Brazil!$A:$I,9,FALSE)," ")</f>
        <v>*</v>
      </c>
      <c r="M13" s="240" t="str">
        <f>_xlfn.IFNA(VLOOKUP($A14,Chile!$A:$I,9,FALSE)," ")</f>
        <v/>
      </c>
      <c r="N13" s="240" t="str">
        <f>_xlfn.IFNA(VLOOKUP($A14,Colombia!$A:$I,9,FALSE)," ")</f>
        <v/>
      </c>
      <c r="O13" s="240" t="str">
        <f>_xlfn.IFNA(VLOOKUP($A14,Ecuador!$A:$I,9,FALSE)," ")</f>
        <v/>
      </c>
      <c r="P13" s="240" t="str">
        <f>_xlfn.IFNA(VLOOKUP($A14,Guatemala!$A:$I,9,FALSE)," ")</f>
        <v>***</v>
      </c>
      <c r="Q13" s="240" t="str">
        <f>_xlfn.IFNA(VLOOKUP($A14,Mexico!$A:$I,9,FALSE)," ")</f>
        <v/>
      </c>
      <c r="R13" s="240" t="str">
        <f>_xlfn.IFNA(VLOOKUP($A14,Nicaragua!$A:$I,9,FALSE)," ")</f>
        <v/>
      </c>
      <c r="S13" s="240" t="str">
        <f>_xlfn.IFNA(VLOOKUP($A14,Peru!$A:$I,9,FALSE)," ")</f>
        <v/>
      </c>
      <c r="T13" s="240" t="str">
        <f>_xlfn.IFNA(VLOOKUP($A14,PuertoRico!$A:$I,9,FALSE)," ")</f>
        <v/>
      </c>
      <c r="U13" s="240" t="str">
        <f>_xlfn.IFNA(VLOOKUP($A14,Uruguay!$A:$I,9,FALSE)," ")</f>
        <v/>
      </c>
      <c r="V13" s="105" t="str">
        <f>_xlfn.IFNA(VLOOKUP($A14,Venezuela!$A:$I,9,FALSE)," ")</f>
        <v/>
      </c>
    </row>
    <row r="14" spans="1:22" x14ac:dyDescent="0.2">
      <c r="A14" s="157" t="s">
        <v>17</v>
      </c>
      <c r="B14" s="158">
        <v>0.754</v>
      </c>
      <c r="C14" s="64">
        <v>0.43099999999999999</v>
      </c>
      <c r="D14" s="159">
        <v>0.77800000000000002</v>
      </c>
      <c r="E14" s="65">
        <v>0.41599999999999998</v>
      </c>
      <c r="F14" s="160">
        <v>0.76600000000000001</v>
      </c>
      <c r="G14" s="66">
        <v>0.42299999999999999</v>
      </c>
      <c r="H14" s="161">
        <v>0.02</v>
      </c>
      <c r="I14" s="111" t="str">
        <f t="shared" si="0"/>
        <v>**</v>
      </c>
      <c r="J14" s="249" t="str">
        <f>_xlfn.IFNA(VLOOKUP(A15,Argentina!A:I,9,FALSE)," ")</f>
        <v/>
      </c>
      <c r="K14" s="240" t="str">
        <f>_xlfn.IFNA(VLOOKUP($A15,Bolivia!$A:$I,9,FALSE)," ")</f>
        <v/>
      </c>
      <c r="L14" s="240" t="str">
        <f>_xlfn.IFNA(VLOOKUP($A15,Brazil!$A:$I,9,FALSE)," ")</f>
        <v/>
      </c>
      <c r="M14" s="240" t="str">
        <f>_xlfn.IFNA(VLOOKUP($A15,Chile!$A:$I,9,FALSE)," ")</f>
        <v/>
      </c>
      <c r="N14" s="240" t="str">
        <f>_xlfn.IFNA(VLOOKUP($A15,Colombia!$A:$I,9,FALSE)," ")</f>
        <v/>
      </c>
      <c r="O14" s="240" t="str">
        <f>_xlfn.IFNA(VLOOKUP($A15,Ecuador!$A:$I,9,FALSE)," ")</f>
        <v>**</v>
      </c>
      <c r="P14" s="240" t="str">
        <f>_xlfn.IFNA(VLOOKUP($A15,Guatemala!$A:$I,9,FALSE)," ")</f>
        <v/>
      </c>
      <c r="Q14" s="240" t="str">
        <f>_xlfn.IFNA(VLOOKUP($A15,Mexico!$A:$I,9,FALSE)," ")</f>
        <v/>
      </c>
      <c r="R14" s="240" t="str">
        <f>_xlfn.IFNA(VLOOKUP($A15,Nicaragua!$A:$I,9,FALSE)," ")</f>
        <v/>
      </c>
      <c r="S14" s="240" t="str">
        <f>_xlfn.IFNA(VLOOKUP($A15,Peru!$A:$I,9,FALSE)," ")</f>
        <v/>
      </c>
      <c r="T14" s="240" t="str">
        <f>_xlfn.IFNA(VLOOKUP($A15,PuertoRico!$A:$I,9,FALSE)," ")</f>
        <v/>
      </c>
      <c r="U14" s="240" t="str">
        <f>_xlfn.IFNA(VLOOKUP($A15,Uruguay!$A:$I,9,FALSE)," ")</f>
        <v/>
      </c>
      <c r="V14" s="105" t="str">
        <f>_xlfn.IFNA(VLOOKUP($A15,Venezuela!$A:$I,9,FALSE)," ")</f>
        <v/>
      </c>
    </row>
    <row r="15" spans="1:22" x14ac:dyDescent="0.2">
      <c r="A15" s="162" t="s">
        <v>18</v>
      </c>
      <c r="B15" s="163">
        <v>0.94799999999999995</v>
      </c>
      <c r="C15" s="6">
        <v>0.222</v>
      </c>
      <c r="D15" s="164">
        <v>0.95399999999999996</v>
      </c>
      <c r="E15" s="35">
        <v>0.20899999999999999</v>
      </c>
      <c r="F15" s="165">
        <v>0.95099999999999996</v>
      </c>
      <c r="G15" s="21">
        <v>0.216</v>
      </c>
      <c r="H15" s="166">
        <v>0.23100000000000001</v>
      </c>
      <c r="I15" s="105" t="str">
        <f t="shared" si="0"/>
        <v/>
      </c>
      <c r="J15" s="249" t="str">
        <f>_xlfn.IFNA(VLOOKUP(A16,Argentina!A:I,9,FALSE)," ")</f>
        <v/>
      </c>
      <c r="K15" s="240" t="str">
        <f>_xlfn.IFNA(VLOOKUP($A16,Bolivia!$A:$I,9,FALSE)," ")</f>
        <v>***</v>
      </c>
      <c r="L15" s="240" t="str">
        <f>_xlfn.IFNA(VLOOKUP($A16,Brazil!$A:$I,9,FALSE)," ")</f>
        <v/>
      </c>
      <c r="M15" s="240" t="str">
        <f>_xlfn.IFNA(VLOOKUP($A16,Chile!$A:$I,9,FALSE)," ")</f>
        <v/>
      </c>
      <c r="N15" s="240" t="str">
        <f>_xlfn.IFNA(VLOOKUP($A16,Colombia!$A:$I,9,FALSE)," ")</f>
        <v>*</v>
      </c>
      <c r="O15" s="240" t="str">
        <f>_xlfn.IFNA(VLOOKUP($A16,Ecuador!$A:$I,9,FALSE)," ")</f>
        <v/>
      </c>
      <c r="P15" s="240" t="str">
        <f>_xlfn.IFNA(VLOOKUP($A16,Guatemala!$A:$I,9,FALSE)," ")</f>
        <v/>
      </c>
      <c r="Q15" s="240" t="str">
        <f>_xlfn.IFNA(VLOOKUP($A16,Mexico!$A:$I,9,FALSE)," ")</f>
        <v/>
      </c>
      <c r="R15" s="240" t="str">
        <f>_xlfn.IFNA(VLOOKUP($A16,Nicaragua!$A:$I,9,FALSE)," ")</f>
        <v/>
      </c>
      <c r="S15" s="240" t="str">
        <f>_xlfn.IFNA(VLOOKUP($A16,Peru!$A:$I,9,FALSE)," ")</f>
        <v>***</v>
      </c>
      <c r="T15" s="240" t="str">
        <f>_xlfn.IFNA(VLOOKUP($A16,PuertoRico!$A:$I,9,FALSE)," ")</f>
        <v/>
      </c>
      <c r="U15" s="240" t="str">
        <f>_xlfn.IFNA(VLOOKUP($A16,Uruguay!$A:$I,9,FALSE)," ")</f>
        <v/>
      </c>
      <c r="V15" s="105" t="str">
        <f>_xlfn.IFNA(VLOOKUP($A16,Venezuela!$A:$I,9,FALSE)," ")</f>
        <v/>
      </c>
    </row>
    <row r="16" spans="1:22" x14ac:dyDescent="0.2">
      <c r="A16" s="167" t="s">
        <v>19</v>
      </c>
      <c r="B16" s="168">
        <v>0.83099999999999996</v>
      </c>
      <c r="C16" s="67">
        <v>0.375</v>
      </c>
      <c r="D16" s="169">
        <v>0.85299999999999998</v>
      </c>
      <c r="E16" s="68">
        <v>0.35399999999999998</v>
      </c>
      <c r="F16" s="170">
        <v>0.84199999999999997</v>
      </c>
      <c r="G16" s="69">
        <v>0.36399999999999999</v>
      </c>
      <c r="H16" s="171">
        <v>1.0999999999999999E-2</v>
      </c>
      <c r="I16" s="111" t="str">
        <f t="shared" si="0"/>
        <v>**</v>
      </c>
      <c r="J16" s="249" t="str">
        <f>_xlfn.IFNA(VLOOKUP(A17,Argentina!A:I,9,FALSE)," ")</f>
        <v/>
      </c>
      <c r="K16" s="240" t="str">
        <f>_xlfn.IFNA(VLOOKUP($A17,Bolivia!$A:$I,9,FALSE)," ")</f>
        <v>*</v>
      </c>
      <c r="L16" s="240" t="str">
        <f>_xlfn.IFNA(VLOOKUP($A17,Brazil!$A:$I,9,FALSE)," ")</f>
        <v/>
      </c>
      <c r="M16" s="240" t="str">
        <f>_xlfn.IFNA(VLOOKUP($A17,Chile!$A:$I,9,FALSE)," ")</f>
        <v/>
      </c>
      <c r="N16" s="240" t="str">
        <f>_xlfn.IFNA(VLOOKUP($A17,Colombia!$A:$I,9,FALSE)," ")</f>
        <v/>
      </c>
      <c r="O16" s="240" t="str">
        <f>_xlfn.IFNA(VLOOKUP($A17,Ecuador!$A:$I,9,FALSE)," ")</f>
        <v>***</v>
      </c>
      <c r="P16" s="240" t="str">
        <f>_xlfn.IFNA(VLOOKUP($A17,Guatemala!$A:$I,9,FALSE)," ")</f>
        <v/>
      </c>
      <c r="Q16" s="240" t="str">
        <f>_xlfn.IFNA(VLOOKUP($A17,Mexico!$A:$I,9,FALSE)," ")</f>
        <v>*</v>
      </c>
      <c r="R16" s="240" t="str">
        <f>_xlfn.IFNA(VLOOKUP($A17,Nicaragua!$A:$I,9,FALSE)," ")</f>
        <v/>
      </c>
      <c r="S16" s="240" t="str">
        <f>_xlfn.IFNA(VLOOKUP($A17,Peru!$A:$I,9,FALSE)," ")</f>
        <v/>
      </c>
      <c r="T16" s="240" t="str">
        <f>_xlfn.IFNA(VLOOKUP($A17,PuertoRico!$A:$I,9,FALSE)," ")</f>
        <v/>
      </c>
      <c r="U16" s="240" t="str">
        <f>_xlfn.IFNA(VLOOKUP($A17,Uruguay!$A:$I,9,FALSE)," ")</f>
        <v/>
      </c>
      <c r="V16" s="105" t="str">
        <f>_xlfn.IFNA(VLOOKUP($A17,Venezuela!$A:$I,9,FALSE)," ")</f>
        <v>**</v>
      </c>
    </row>
    <row r="17" spans="1:22" x14ac:dyDescent="0.2">
      <c r="A17" s="172" t="s">
        <v>20</v>
      </c>
      <c r="B17" s="173">
        <v>0.44600000000000001</v>
      </c>
      <c r="C17" s="7">
        <v>0.497</v>
      </c>
      <c r="D17" s="174">
        <v>0.40699999999999997</v>
      </c>
      <c r="E17" s="36">
        <v>0.49099999999999999</v>
      </c>
      <c r="F17" s="175">
        <v>0.42599999999999999</v>
      </c>
      <c r="G17" s="22">
        <v>0.49399999999999999</v>
      </c>
      <c r="H17" s="176" t="s">
        <v>5</v>
      </c>
      <c r="I17" s="105" t="str">
        <f t="shared" si="0"/>
        <v/>
      </c>
      <c r="J17" s="249" t="str">
        <f>_xlfn.IFNA(VLOOKUP(A18,Argentina!A:I,9,FALSE)," ")</f>
        <v/>
      </c>
      <c r="K17" s="240" t="str">
        <f>_xlfn.IFNA(VLOOKUP($A18,Bolivia!$A:$I,9,FALSE)," ")</f>
        <v/>
      </c>
      <c r="L17" s="240" t="str">
        <f>_xlfn.IFNA(VLOOKUP($A18,Brazil!$A:$I,9,FALSE)," ")</f>
        <v/>
      </c>
      <c r="M17" s="240" t="str">
        <f>_xlfn.IFNA(VLOOKUP($A18,Chile!$A:$I,9,FALSE)," ")</f>
        <v/>
      </c>
      <c r="N17" s="240" t="str">
        <f>_xlfn.IFNA(VLOOKUP($A18,Colombia!$A:$I,9,FALSE)," ")</f>
        <v/>
      </c>
      <c r="O17" s="240" t="str">
        <f>_xlfn.IFNA(VLOOKUP($A18,Ecuador!$A:$I,9,FALSE)," ")</f>
        <v>*</v>
      </c>
      <c r="P17" s="240" t="str">
        <f>_xlfn.IFNA(VLOOKUP($A18,Guatemala!$A:$I,9,FALSE)," ")</f>
        <v/>
      </c>
      <c r="Q17" s="240" t="str">
        <f>_xlfn.IFNA(VLOOKUP($A18,Mexico!$A:$I,9,FALSE)," ")</f>
        <v/>
      </c>
      <c r="R17" s="240" t="str">
        <f>_xlfn.IFNA(VLOOKUP($A18,Nicaragua!$A:$I,9,FALSE)," ")</f>
        <v/>
      </c>
      <c r="S17" s="240" t="str">
        <f>_xlfn.IFNA(VLOOKUP($A18,Peru!$A:$I,9,FALSE)," ")</f>
        <v/>
      </c>
      <c r="T17" s="240" t="str">
        <f>_xlfn.IFNA(VLOOKUP($A18,PuertoRico!$A:$I,9,FALSE)," ")</f>
        <v/>
      </c>
      <c r="U17" s="240" t="str">
        <f>_xlfn.IFNA(VLOOKUP($A18,Uruguay!$A:$I,9,FALSE)," ")</f>
        <v/>
      </c>
      <c r="V17" s="105" t="str">
        <f>_xlfn.IFNA(VLOOKUP($A18,Venezuela!$A:$I,9,FALSE)," ")</f>
        <v/>
      </c>
    </row>
    <row r="18" spans="1:22" x14ac:dyDescent="0.2">
      <c r="A18" s="177" t="s">
        <v>22</v>
      </c>
      <c r="B18" s="178">
        <v>0.72799999999999998</v>
      </c>
      <c r="C18" s="8">
        <v>0.44500000000000001</v>
      </c>
      <c r="D18" s="179">
        <v>0.73099999999999998</v>
      </c>
      <c r="E18" s="37">
        <v>0.443</v>
      </c>
      <c r="F18" s="180">
        <v>0.73</v>
      </c>
      <c r="G18" s="23">
        <v>0.44400000000000001</v>
      </c>
      <c r="H18" s="181">
        <v>0.79600000000000004</v>
      </c>
      <c r="I18" s="105" t="str">
        <f t="shared" si="0"/>
        <v/>
      </c>
      <c r="J18" s="249" t="str">
        <f>_xlfn.IFNA(VLOOKUP(A19,Argentina!A:I,9,FALSE)," ")</f>
        <v/>
      </c>
      <c r="K18" s="240" t="str">
        <f>_xlfn.IFNA(VLOOKUP($A19,Bolivia!$A:$I,9,FALSE)," ")</f>
        <v>***</v>
      </c>
      <c r="L18" s="240" t="str">
        <f>_xlfn.IFNA(VLOOKUP($A19,Brazil!$A:$I,9,FALSE)," ")</f>
        <v/>
      </c>
      <c r="M18" s="240" t="str">
        <f>_xlfn.IFNA(VLOOKUP($A19,Chile!$A:$I,9,FALSE)," ")</f>
        <v/>
      </c>
      <c r="N18" s="240" t="str">
        <f>_xlfn.IFNA(VLOOKUP($A19,Colombia!$A:$I,9,FALSE)," ")</f>
        <v>**</v>
      </c>
      <c r="O18" s="240" t="str">
        <f>_xlfn.IFNA(VLOOKUP($A19,Ecuador!$A:$I,9,FALSE)," ")</f>
        <v/>
      </c>
      <c r="P18" s="240" t="str">
        <f>_xlfn.IFNA(VLOOKUP($A19,Guatemala!$A:$I,9,FALSE)," ")</f>
        <v/>
      </c>
      <c r="Q18" s="240" t="str">
        <f>_xlfn.IFNA(VLOOKUP($A19,Mexico!$A:$I,9,FALSE)," ")</f>
        <v/>
      </c>
      <c r="R18" s="240" t="str">
        <f>_xlfn.IFNA(VLOOKUP($A19,Nicaragua!$A:$I,9,FALSE)," ")</f>
        <v>**</v>
      </c>
      <c r="S18" s="240" t="str">
        <f>_xlfn.IFNA(VLOOKUP($A19,Peru!$A:$I,9,FALSE)," ")</f>
        <v/>
      </c>
      <c r="T18" s="240" t="str">
        <f>_xlfn.IFNA(VLOOKUP($A19,PuertoRico!$A:$I,9,FALSE)," ")</f>
        <v/>
      </c>
      <c r="U18" s="240" t="str">
        <f>_xlfn.IFNA(VLOOKUP($A19,Uruguay!$A:$I,9,FALSE)," ")</f>
        <v/>
      </c>
      <c r="V18" s="105" t="str">
        <f>_xlfn.IFNA(VLOOKUP($A19,Venezuela!$A:$I,9,FALSE)," ")</f>
        <v/>
      </c>
    </row>
    <row r="19" spans="1:22" x14ac:dyDescent="0.2">
      <c r="A19" s="182" t="s">
        <v>23</v>
      </c>
      <c r="B19" s="183">
        <v>0.38900000000000001</v>
      </c>
      <c r="C19" s="70">
        <v>0.48799999999999999</v>
      </c>
      <c r="D19" s="184">
        <v>0.41899999999999998</v>
      </c>
      <c r="E19" s="71">
        <v>0.49299999999999999</v>
      </c>
      <c r="F19" s="185">
        <v>0.40400000000000003</v>
      </c>
      <c r="G19" s="72">
        <v>0.49099999999999999</v>
      </c>
      <c r="H19" s="186">
        <v>8.9999999999999993E-3</v>
      </c>
      <c r="I19" s="111" t="str">
        <f t="shared" si="0"/>
        <v>***</v>
      </c>
      <c r="J19" s="249" t="str">
        <f>_xlfn.IFNA(VLOOKUP(A20,Argentina!A:I,9,FALSE)," ")</f>
        <v/>
      </c>
      <c r="K19" s="240" t="str">
        <f>_xlfn.IFNA(VLOOKUP($A20,Bolivia!$A:$I,9,FALSE)," ")</f>
        <v>***</v>
      </c>
      <c r="L19" s="240" t="str">
        <f>_xlfn.IFNA(VLOOKUP($A20,Brazil!$A:$I,9,FALSE)," ")</f>
        <v/>
      </c>
      <c r="M19" s="240" t="str">
        <f>_xlfn.IFNA(VLOOKUP($A20,Chile!$A:$I,9,FALSE)," ")</f>
        <v/>
      </c>
      <c r="N19" s="240" t="str">
        <f>_xlfn.IFNA(VLOOKUP($A20,Colombia!$A:$I,9,FALSE)," ")</f>
        <v/>
      </c>
      <c r="O19" s="240" t="str">
        <f>_xlfn.IFNA(VLOOKUP($A20,Ecuador!$A:$I,9,FALSE)," ")</f>
        <v/>
      </c>
      <c r="P19" s="240" t="str">
        <f>_xlfn.IFNA(VLOOKUP($A20,Guatemala!$A:$I,9,FALSE)," ")</f>
        <v/>
      </c>
      <c r="Q19" s="240" t="str">
        <f>_xlfn.IFNA(VLOOKUP($A20,Mexico!$A:$I,9,FALSE)," ")</f>
        <v/>
      </c>
      <c r="R19" s="240" t="str">
        <f>_xlfn.IFNA(VLOOKUP($A20,Nicaragua!$A:$I,9,FALSE)," ")</f>
        <v/>
      </c>
      <c r="S19" s="240" t="str">
        <f>_xlfn.IFNA(VLOOKUP($A20,Peru!$A:$I,9,FALSE)," ")</f>
        <v/>
      </c>
      <c r="T19" s="240" t="str">
        <f>_xlfn.IFNA(VLOOKUP($A20,PuertoRico!$A:$I,9,FALSE)," ")</f>
        <v/>
      </c>
      <c r="U19" s="240" t="str">
        <f>_xlfn.IFNA(VLOOKUP($A20,Uruguay!$A:$I,9,FALSE)," ")</f>
        <v/>
      </c>
      <c r="V19" s="105" t="str">
        <f>_xlfn.IFNA(VLOOKUP($A20,Venezuela!$A:$I,9,FALSE)," ")</f>
        <v>*</v>
      </c>
    </row>
    <row r="20" spans="1:22" x14ac:dyDescent="0.2">
      <c r="A20" s="187" t="s">
        <v>24</v>
      </c>
      <c r="B20" s="188">
        <v>0.372</v>
      </c>
      <c r="C20" s="9">
        <v>0.48399999999999999</v>
      </c>
      <c r="D20" s="189">
        <v>0.39</v>
      </c>
      <c r="E20" s="38">
        <v>0.48799999999999999</v>
      </c>
      <c r="F20" s="190">
        <v>0.38200000000000001</v>
      </c>
      <c r="G20" s="24">
        <v>0.48599999999999999</v>
      </c>
      <c r="H20" s="191">
        <v>0.11700000000000001</v>
      </c>
      <c r="I20" s="105" t="str">
        <f t="shared" si="0"/>
        <v/>
      </c>
      <c r="J20" s="249" t="str">
        <f>_xlfn.IFNA(VLOOKUP(A21,Argentina!A:I,9,FALSE)," ")</f>
        <v>**</v>
      </c>
      <c r="K20" s="240" t="str">
        <f>_xlfn.IFNA(VLOOKUP($A21,Bolivia!$A:$I,9,FALSE)," ")</f>
        <v>***</v>
      </c>
      <c r="L20" s="240" t="str">
        <f>_xlfn.IFNA(VLOOKUP($A21,Brazil!$A:$I,9,FALSE)," ")</f>
        <v>**</v>
      </c>
      <c r="M20" s="240" t="str">
        <f>_xlfn.IFNA(VLOOKUP($A21,Chile!$A:$I,9,FALSE)," ")</f>
        <v/>
      </c>
      <c r="N20" s="240" t="str">
        <f>_xlfn.IFNA(VLOOKUP($A21,Colombia!$A:$I,9,FALSE)," ")</f>
        <v>***</v>
      </c>
      <c r="O20" s="240" t="str">
        <f>_xlfn.IFNA(VLOOKUP($A21,Ecuador!$A:$I,9,FALSE)," ")</f>
        <v>**</v>
      </c>
      <c r="P20" s="240" t="str">
        <f>_xlfn.IFNA(VLOOKUP($A21,Guatemala!$A:$I,9,FALSE)," ")</f>
        <v/>
      </c>
      <c r="Q20" s="240" t="str">
        <f>_xlfn.IFNA(VLOOKUP($A21,Mexico!$A:$I,9,FALSE)," ")</f>
        <v/>
      </c>
      <c r="R20" s="240" t="str">
        <f>_xlfn.IFNA(VLOOKUP($A21,Nicaragua!$A:$I,9,FALSE)," ")</f>
        <v/>
      </c>
      <c r="S20" s="240" t="str">
        <f>_xlfn.IFNA(VLOOKUP($A21,Peru!$A:$I,9,FALSE)," ")</f>
        <v>**</v>
      </c>
      <c r="T20" s="240" t="str">
        <f>_xlfn.IFNA(VLOOKUP($A21,PuertoRico!$A:$I,9,FALSE)," ")</f>
        <v/>
      </c>
      <c r="U20" s="240" t="str">
        <f>_xlfn.IFNA(VLOOKUP($A21,Uruguay!$A:$I,9,FALSE)," ")</f>
        <v/>
      </c>
      <c r="V20" s="105" t="str">
        <f>_xlfn.IFNA(VLOOKUP($A21,Venezuela!$A:$I,9,FALSE)," ")</f>
        <v/>
      </c>
    </row>
    <row r="21" spans="1:22" x14ac:dyDescent="0.2">
      <c r="A21" s="192" t="s">
        <v>25</v>
      </c>
      <c r="B21" s="193">
        <v>0.374</v>
      </c>
      <c r="C21" s="10">
        <v>0.48399999999999999</v>
      </c>
      <c r="D21" s="194">
        <v>0.307</v>
      </c>
      <c r="E21" s="39">
        <v>0.46100000000000002</v>
      </c>
      <c r="F21" s="195">
        <v>0.33900000000000002</v>
      </c>
      <c r="G21" s="25">
        <v>0.47299999999999998</v>
      </c>
      <c r="H21" s="196" t="s">
        <v>5</v>
      </c>
      <c r="I21" s="105" t="str">
        <f t="shared" si="0"/>
        <v/>
      </c>
      <c r="J21" s="249" t="str">
        <f>_xlfn.IFNA(VLOOKUP(A22,Argentina!A:I,9,FALSE)," ")</f>
        <v/>
      </c>
      <c r="K21" s="240"/>
      <c r="L21" s="239"/>
      <c r="M21" s="239"/>
      <c r="N21" s="240" t="str">
        <f>_xlfn.IFNA(VLOOKUP($A22,Colombia!$A:$I,9,FALSE)," ")</f>
        <v>**</v>
      </c>
      <c r="O21" s="240" t="str">
        <f>_xlfn.IFNA(VLOOKUP($A22,Ecuador!$A:$I,9,FALSE)," ")</f>
        <v/>
      </c>
      <c r="P21" s="240" t="str">
        <f>_xlfn.IFNA(VLOOKUP($A22,Guatemala!$A:$I,9,FALSE)," ")</f>
        <v/>
      </c>
      <c r="Q21" s="240" t="str">
        <f>_xlfn.IFNA(VLOOKUP($A22,Mexico!$A:$I,9,FALSE)," ")</f>
        <v/>
      </c>
      <c r="R21" s="240" t="str">
        <f>_xlfn.IFNA(VLOOKUP($A22,Nicaragua!$A:$I,9,FALSE)," ")</f>
        <v/>
      </c>
      <c r="S21" s="240" t="str">
        <f>_xlfn.IFNA(VLOOKUP($A22,Peru!$A:$I,9,FALSE)," ")</f>
        <v/>
      </c>
      <c r="T21" s="239"/>
      <c r="U21" s="240" t="str">
        <f>_xlfn.IFNA(VLOOKUP($A22,Uruguay!$A:$I,9,FALSE)," ")</f>
        <v/>
      </c>
      <c r="V21" s="105" t="str">
        <f>_xlfn.IFNA(VLOOKUP($A22,Venezuela!$A:$I,9,FALSE)," ")</f>
        <v/>
      </c>
    </row>
    <row r="22" spans="1:22" x14ac:dyDescent="0.2">
      <c r="A22" s="197" t="s">
        <v>26</v>
      </c>
      <c r="B22" s="198">
        <v>0.39500000000000002</v>
      </c>
      <c r="C22" s="73">
        <v>0.48899999999999999</v>
      </c>
      <c r="D22" s="199">
        <v>0.34799999999999998</v>
      </c>
      <c r="E22" s="74">
        <v>0.47599999999999998</v>
      </c>
      <c r="F22" s="200">
        <v>0.371</v>
      </c>
      <c r="G22" s="75">
        <v>0.48299999999999998</v>
      </c>
      <c r="H22" s="201">
        <v>2E-3</v>
      </c>
      <c r="I22" s="111" t="str">
        <f t="shared" si="0"/>
        <v>***</v>
      </c>
      <c r="J22" s="249" t="str">
        <f>_xlfn.IFNA(VLOOKUP(A23,Argentina!A:I,9,FALSE)," ")</f>
        <v/>
      </c>
      <c r="K22" s="240" t="str">
        <f>_xlfn.IFNA(VLOOKUP($A23,Bolivia!$A:$I,9,FALSE)," ")</f>
        <v/>
      </c>
      <c r="L22" s="240" t="str">
        <f>_xlfn.IFNA(VLOOKUP($A23,Brazil!$A:$I,9,FALSE)," ")</f>
        <v/>
      </c>
      <c r="M22" s="240" t="str">
        <f>_xlfn.IFNA(VLOOKUP($A23,Chile!$A:$I,9,FALSE)," ")</f>
        <v/>
      </c>
      <c r="N22" s="240" t="str">
        <f>_xlfn.IFNA(VLOOKUP($A23,Colombia!$A:$I,9,FALSE)," ")</f>
        <v/>
      </c>
      <c r="O22" s="240" t="str">
        <f>_xlfn.IFNA(VLOOKUP($A23,Ecuador!$A:$I,9,FALSE)," ")</f>
        <v/>
      </c>
      <c r="P22" s="240" t="str">
        <f>_xlfn.IFNA(VLOOKUP($A23,Guatemala!$A:$I,9,FALSE)," ")</f>
        <v/>
      </c>
      <c r="Q22" s="240" t="str">
        <f>_xlfn.IFNA(VLOOKUP($A23,Mexico!$A:$I,9,FALSE)," ")</f>
        <v/>
      </c>
      <c r="R22" s="240" t="str">
        <f>_xlfn.IFNA(VLOOKUP($A23,Nicaragua!$A:$I,9,FALSE)," ")</f>
        <v/>
      </c>
      <c r="S22" s="240" t="str">
        <f>_xlfn.IFNA(VLOOKUP($A23,Peru!$A:$I,9,FALSE)," ")</f>
        <v/>
      </c>
      <c r="T22" s="240" t="str">
        <f>_xlfn.IFNA(VLOOKUP($A23,PuertoRico!$A:$I,9,FALSE)," ")</f>
        <v/>
      </c>
      <c r="U22" s="240" t="str">
        <f>_xlfn.IFNA(VLOOKUP($A23,Uruguay!$A:$I,9,FALSE)," ")</f>
        <v/>
      </c>
      <c r="V22" s="105" t="str">
        <f>_xlfn.IFNA(VLOOKUP($A23,Venezuela!$A:$I,9,FALSE)," ")</f>
        <v/>
      </c>
    </row>
    <row r="23" spans="1:22" x14ac:dyDescent="0.2">
      <c r="A23" s="202" t="s">
        <v>28</v>
      </c>
      <c r="B23" s="203">
        <v>0.34399999999999997</v>
      </c>
      <c r="C23" s="11">
        <v>0.47499999999999998</v>
      </c>
      <c r="D23" s="204">
        <v>0.35</v>
      </c>
      <c r="E23" s="40">
        <v>0.47699999999999998</v>
      </c>
      <c r="F23" s="205">
        <v>0.34699999999999998</v>
      </c>
      <c r="G23" s="26">
        <v>0.47599999999999998</v>
      </c>
      <c r="H23" s="206">
        <v>0.60699999999999998</v>
      </c>
      <c r="I23" s="105" t="str">
        <f t="shared" si="0"/>
        <v/>
      </c>
      <c r="J23" s="249" t="str">
        <f>_xlfn.IFNA(VLOOKUP(A24,Argentina!A:I,9,FALSE)," ")</f>
        <v/>
      </c>
      <c r="K23" s="240" t="str">
        <f>_xlfn.IFNA(VLOOKUP($A24,Bolivia!$A:$I,9,FALSE)," ")</f>
        <v/>
      </c>
      <c r="L23" s="240" t="str">
        <f>_xlfn.IFNA(VLOOKUP($A24,Brazil!$A:$I,9,FALSE)," ")</f>
        <v/>
      </c>
      <c r="M23" s="240" t="str">
        <f>_xlfn.IFNA(VLOOKUP($A24,Chile!$A:$I,9,FALSE)," ")</f>
        <v/>
      </c>
      <c r="N23" s="240" t="str">
        <f>_xlfn.IFNA(VLOOKUP($A24,Colombia!$A:$I,9,FALSE)," ")</f>
        <v/>
      </c>
      <c r="O23" s="240" t="str">
        <f>_xlfn.IFNA(VLOOKUP($A24,Ecuador!$A:$I,9,FALSE)," ")</f>
        <v/>
      </c>
      <c r="P23" s="240" t="str">
        <f>_xlfn.IFNA(VLOOKUP($A24,Guatemala!$A:$I,9,FALSE)," ")</f>
        <v/>
      </c>
      <c r="Q23" s="240" t="str">
        <f>_xlfn.IFNA(VLOOKUP($A24,Mexico!$A:$I,9,FALSE)," ")</f>
        <v/>
      </c>
      <c r="R23" s="240" t="str">
        <f>_xlfn.IFNA(VLOOKUP($A24,Nicaragua!$A:$I,9,FALSE)," ")</f>
        <v/>
      </c>
      <c r="S23" s="240" t="str">
        <f>_xlfn.IFNA(VLOOKUP($A24,Peru!$A:$I,9,FALSE)," ")</f>
        <v/>
      </c>
      <c r="T23" s="240" t="str">
        <f>_xlfn.IFNA(VLOOKUP($A24,PuertoRico!$A:$I,9,FALSE)," ")</f>
        <v/>
      </c>
      <c r="U23" s="240" t="str">
        <f>_xlfn.IFNA(VLOOKUP($A24,Uruguay!$A:$I,9,FALSE)," ")</f>
        <v/>
      </c>
      <c r="V23" s="105" t="str">
        <f>_xlfn.IFNA(VLOOKUP($A24,Venezuela!$A:$I,9,FALSE)," ")</f>
        <v/>
      </c>
    </row>
    <row r="24" spans="1:22" x14ac:dyDescent="0.2">
      <c r="A24" s="207" t="s">
        <v>29</v>
      </c>
      <c r="B24" s="208">
        <v>0.84</v>
      </c>
      <c r="C24" s="12">
        <v>0.36599999999999999</v>
      </c>
      <c r="D24" s="209">
        <v>0.84699999999999998</v>
      </c>
      <c r="E24" s="41">
        <v>0.36</v>
      </c>
      <c r="F24" s="210">
        <v>0.84399999999999997</v>
      </c>
      <c r="G24" s="27">
        <v>0.36299999999999999</v>
      </c>
      <c r="H24" s="211">
        <v>0.47199999999999998</v>
      </c>
      <c r="I24" s="105" t="str">
        <f t="shared" si="0"/>
        <v/>
      </c>
      <c r="J24" s="249" t="str">
        <f>_xlfn.IFNA(VLOOKUP(A25,Argentina!A:I,9,FALSE)," ")</f>
        <v/>
      </c>
      <c r="K24" s="240" t="str">
        <f>_xlfn.IFNA(VLOOKUP($A25,Bolivia!$A:$I,9,FALSE)," ")</f>
        <v/>
      </c>
      <c r="L24" s="240" t="str">
        <f>_xlfn.IFNA(VLOOKUP($A25,Brazil!$A:$I,9,FALSE)," ")</f>
        <v>**</v>
      </c>
      <c r="M24" s="240" t="str">
        <f>_xlfn.IFNA(VLOOKUP($A25,Chile!$A:$I,9,FALSE)," ")</f>
        <v/>
      </c>
      <c r="N24" s="240" t="str">
        <f>_xlfn.IFNA(VLOOKUP($A25,Colombia!$A:$I,9,FALSE)," ")</f>
        <v/>
      </c>
      <c r="O24" s="240" t="str">
        <f>_xlfn.IFNA(VLOOKUP($A25,Ecuador!$A:$I,9,FALSE)," ")</f>
        <v>***</v>
      </c>
      <c r="P24" s="240" t="str">
        <f>_xlfn.IFNA(VLOOKUP($A25,Guatemala!$A:$I,9,FALSE)," ")</f>
        <v/>
      </c>
      <c r="Q24" s="240" t="str">
        <f>_xlfn.IFNA(VLOOKUP($A25,Mexico!$A:$I,9,FALSE)," ")</f>
        <v/>
      </c>
      <c r="R24" s="240" t="str">
        <f>_xlfn.IFNA(VLOOKUP($A25,Nicaragua!$A:$I,9,FALSE)," ")</f>
        <v/>
      </c>
      <c r="S24" s="240" t="str">
        <f>_xlfn.IFNA(VLOOKUP($A25,Peru!$A:$I,9,FALSE)," ")</f>
        <v/>
      </c>
      <c r="T24" s="240" t="str">
        <f>_xlfn.IFNA(VLOOKUP($A25,PuertoRico!$A:$I,9,FALSE)," ")</f>
        <v/>
      </c>
      <c r="U24" s="240" t="str">
        <f>_xlfn.IFNA(VLOOKUP($A25,Uruguay!$A:$I,9,FALSE)," ")</f>
        <v/>
      </c>
      <c r="V24" s="105" t="str">
        <f>_xlfn.IFNA(VLOOKUP($A25,Venezuela!$A:$I,9,FALSE)," ")</f>
        <v/>
      </c>
    </row>
    <row r="25" spans="1:22" x14ac:dyDescent="0.2">
      <c r="A25" s="212" t="s">
        <v>30</v>
      </c>
      <c r="B25" s="213">
        <v>0.84299999999999997</v>
      </c>
      <c r="C25" s="13">
        <v>0.36399999999999999</v>
      </c>
      <c r="D25" s="214">
        <v>0.84599999999999997</v>
      </c>
      <c r="E25" s="42">
        <v>0.36099999999999999</v>
      </c>
      <c r="F25" s="215">
        <v>0.84499999999999997</v>
      </c>
      <c r="G25" s="28">
        <v>0.36199999999999999</v>
      </c>
      <c r="H25" s="216">
        <v>0.67400000000000004</v>
      </c>
      <c r="I25" s="105" t="str">
        <f t="shared" si="0"/>
        <v/>
      </c>
      <c r="J25" s="249" t="str">
        <f>_xlfn.IFNA(VLOOKUP(A26,Argentina!A:I,9,FALSE)," ")</f>
        <v/>
      </c>
      <c r="K25" s="240" t="str">
        <f>_xlfn.IFNA(VLOOKUP($A26,Bolivia!$A:$I,9,FALSE)," ")</f>
        <v/>
      </c>
      <c r="L25" s="240" t="str">
        <f>_xlfn.IFNA(VLOOKUP($A26,Brazil!$A:$I,9,FALSE)," ")</f>
        <v/>
      </c>
      <c r="M25" s="240" t="str">
        <f>_xlfn.IFNA(VLOOKUP($A26,Chile!$A:$I,9,FALSE)," ")</f>
        <v/>
      </c>
      <c r="N25" s="240" t="str">
        <f>_xlfn.IFNA(VLOOKUP($A26,Colombia!$A:$I,9,FALSE)," ")</f>
        <v/>
      </c>
      <c r="O25" s="240" t="str">
        <f>_xlfn.IFNA(VLOOKUP($A26,Ecuador!$A:$I,9,FALSE)," ")</f>
        <v/>
      </c>
      <c r="P25" s="240" t="str">
        <f>_xlfn.IFNA(VLOOKUP($A26,Guatemala!$A:$I,9,FALSE)," ")</f>
        <v/>
      </c>
      <c r="Q25" s="240" t="str">
        <f>_xlfn.IFNA(VLOOKUP($A26,Mexico!$A:$I,9,FALSE)," ")</f>
        <v/>
      </c>
      <c r="R25" s="240" t="str">
        <f>_xlfn.IFNA(VLOOKUP($A26,Nicaragua!$A:$I,9,FALSE)," ")</f>
        <v>*</v>
      </c>
      <c r="S25" s="240" t="str">
        <f>_xlfn.IFNA(VLOOKUP($A26,Peru!$A:$I,9,FALSE)," ")</f>
        <v/>
      </c>
      <c r="T25" s="240" t="str">
        <f>_xlfn.IFNA(VLOOKUP($A26,PuertoRico!$A:$I,9,FALSE)," ")</f>
        <v/>
      </c>
      <c r="U25" s="240" t="str">
        <f>_xlfn.IFNA(VLOOKUP($A26,Uruguay!$A:$I,9,FALSE)," ")</f>
        <v/>
      </c>
      <c r="V25" s="105" t="str">
        <f>_xlfn.IFNA(VLOOKUP($A26,Venezuela!$A:$I,9,FALSE)," ")</f>
        <v/>
      </c>
    </row>
    <row r="26" spans="1:22" x14ac:dyDescent="0.2">
      <c r="A26" s="217" t="s">
        <v>31</v>
      </c>
      <c r="B26" s="218">
        <v>0.19700000000000001</v>
      </c>
      <c r="C26" s="14">
        <v>0.39700000000000002</v>
      </c>
      <c r="D26" s="219">
        <v>0.189</v>
      </c>
      <c r="E26" s="43">
        <v>0.39200000000000002</v>
      </c>
      <c r="F26" s="220">
        <v>0.193</v>
      </c>
      <c r="G26" s="29">
        <v>0.39400000000000002</v>
      </c>
      <c r="H26" s="221">
        <v>0.41399999999999998</v>
      </c>
      <c r="I26" s="105" t="str">
        <f t="shared" si="0"/>
        <v/>
      </c>
      <c r="J26" s="249" t="str">
        <f>_xlfn.IFNA(VLOOKUP(A27,Argentina!A:I,9,FALSE)," ")</f>
        <v/>
      </c>
      <c r="K26" s="240" t="str">
        <f>_xlfn.IFNA(VLOOKUP($A27,Bolivia!$A:$I,9,FALSE)," ")</f>
        <v/>
      </c>
      <c r="L26" s="240" t="str">
        <f>_xlfn.IFNA(VLOOKUP($A27,Brazil!$A:$I,9,FALSE)," ")</f>
        <v/>
      </c>
      <c r="M26" s="240" t="str">
        <f>_xlfn.IFNA(VLOOKUP($A27,Chile!$A:$I,9,FALSE)," ")</f>
        <v/>
      </c>
      <c r="N26" s="240" t="str">
        <f>_xlfn.IFNA(VLOOKUP($A27,Colombia!$A:$I,9,FALSE)," ")</f>
        <v/>
      </c>
      <c r="O26" s="240" t="str">
        <f>_xlfn.IFNA(VLOOKUP($A27,Ecuador!$A:$I,9,FALSE)," ")</f>
        <v/>
      </c>
      <c r="P26" s="240" t="str">
        <f>_xlfn.IFNA(VLOOKUP($A27,Guatemala!$A:$I,9,FALSE)," ")</f>
        <v/>
      </c>
      <c r="Q26" s="240" t="str">
        <f>_xlfn.IFNA(VLOOKUP($A27,Mexico!$A:$I,9,FALSE)," ")</f>
        <v/>
      </c>
      <c r="R26" s="240" t="str">
        <f>_xlfn.IFNA(VLOOKUP($A27,Nicaragua!$A:$I,9,FALSE)," ")</f>
        <v/>
      </c>
      <c r="S26" s="240" t="str">
        <f>_xlfn.IFNA(VLOOKUP($A27,Peru!$A:$I,9,FALSE)," ")</f>
        <v/>
      </c>
      <c r="T26" s="240" t="str">
        <f>_xlfn.IFNA(VLOOKUP($A27,PuertoRico!$A:$I,9,FALSE)," ")</f>
        <v/>
      </c>
      <c r="U26" s="240" t="str">
        <f>_xlfn.IFNA(VLOOKUP($A27,Uruguay!$A:$I,9,FALSE)," ")</f>
        <v/>
      </c>
      <c r="V26" s="105" t="str">
        <f>_xlfn.IFNA(VLOOKUP($A27,Venezuela!$A:$I,9,FALSE)," ")</f>
        <v/>
      </c>
    </row>
    <row r="27" spans="1:22" x14ac:dyDescent="0.2">
      <c r="A27" s="222" t="s">
        <v>32</v>
      </c>
      <c r="B27" s="223">
        <v>0.10299999999999999</v>
      </c>
      <c r="C27" s="15">
        <v>0.30299999999999999</v>
      </c>
      <c r="D27" s="224">
        <v>0.10100000000000001</v>
      </c>
      <c r="E27" s="44">
        <v>0.30199999999999999</v>
      </c>
      <c r="F27" s="225">
        <v>0.10199999999999999</v>
      </c>
      <c r="G27" s="30">
        <v>0.30299999999999999</v>
      </c>
      <c r="H27" s="226">
        <v>0.878</v>
      </c>
      <c r="I27" s="105" t="str">
        <f t="shared" si="0"/>
        <v/>
      </c>
      <c r="J27" s="249" t="str">
        <f>_xlfn.IFNA(VLOOKUP(A28,Argentina!A:I,9,FALSE)," ")</f>
        <v/>
      </c>
      <c r="K27" s="240" t="str">
        <f>_xlfn.IFNA(VLOOKUP($A28,Bolivia!$A:$I,9,FALSE)," ")</f>
        <v/>
      </c>
      <c r="L27" s="240" t="str">
        <f>_xlfn.IFNA(VLOOKUP($A28,Brazil!$A:$I,9,FALSE)," ")</f>
        <v/>
      </c>
      <c r="M27" s="240" t="str">
        <f>_xlfn.IFNA(VLOOKUP($A28,Chile!$A:$I,9,FALSE)," ")</f>
        <v/>
      </c>
      <c r="N27" s="240" t="str">
        <f>_xlfn.IFNA(VLOOKUP($A28,Colombia!$A:$I,9,FALSE)," ")</f>
        <v/>
      </c>
      <c r="O27" s="240" t="str">
        <f>_xlfn.IFNA(VLOOKUP($A28,Ecuador!$A:$I,9,FALSE)," ")</f>
        <v/>
      </c>
      <c r="P27" s="240" t="str">
        <f>_xlfn.IFNA(VLOOKUP($A28,Guatemala!$A:$I,9,FALSE)," ")</f>
        <v/>
      </c>
      <c r="Q27" s="240" t="str">
        <f>_xlfn.IFNA(VLOOKUP($A28,Mexico!$A:$I,9,FALSE)," ")</f>
        <v/>
      </c>
      <c r="R27" s="240" t="str">
        <f>_xlfn.IFNA(VLOOKUP($A28,Nicaragua!$A:$I,9,FALSE)," ")</f>
        <v/>
      </c>
      <c r="S27" s="240" t="str">
        <f>_xlfn.IFNA(VLOOKUP($A28,Peru!$A:$I,9,FALSE)," ")</f>
        <v/>
      </c>
      <c r="T27" s="240" t="str">
        <f>_xlfn.IFNA(VLOOKUP($A28,PuertoRico!$A:$I,9,FALSE)," ")</f>
        <v/>
      </c>
      <c r="U27" s="240" t="str">
        <f>_xlfn.IFNA(VLOOKUP($A28,Uruguay!$A:$I,9,FALSE)," ")</f>
        <v/>
      </c>
      <c r="V27" s="105" t="str">
        <f>_xlfn.IFNA(VLOOKUP($A28,Venezuela!$A:$I,9,FALSE)," ")</f>
        <v/>
      </c>
    </row>
    <row r="28" spans="1:22" ht="16" thickBot="1" x14ac:dyDescent="0.25">
      <c r="A28" s="227" t="s">
        <v>33</v>
      </c>
      <c r="B28" s="228">
        <v>0.14499999999999999</v>
      </c>
      <c r="C28" s="229">
        <v>0.35199999999999998</v>
      </c>
      <c r="D28" s="230">
        <v>0.13500000000000001</v>
      </c>
      <c r="E28" s="231">
        <v>0.34200000000000003</v>
      </c>
      <c r="F28" s="232">
        <v>0.14000000000000001</v>
      </c>
      <c r="G28" s="233">
        <v>0.34699999999999998</v>
      </c>
      <c r="H28" s="234">
        <v>0.21299999999999999</v>
      </c>
      <c r="I28" s="235" t="str">
        <f t="shared" si="0"/>
        <v/>
      </c>
      <c r="J28" s="241" t="str">
        <f>_xlfn.IFNA(VLOOKUP(A29,Argentina!A:I,9,FALSE)," ")</f>
        <v xml:space="preserve"> </v>
      </c>
      <c r="K28" s="242" t="str">
        <f>_xlfn.IFNA(VLOOKUP($A29,Bolivia!$A:$I,9,FALSE)," ")</f>
        <v xml:space="preserve"> </v>
      </c>
      <c r="L28" s="242" t="str">
        <f>_xlfn.IFNA(VLOOKUP($A29,Brazil!$A:$I,9,FALSE)," ")</f>
        <v xml:space="preserve"> </v>
      </c>
      <c r="M28" s="242" t="str">
        <f>_xlfn.IFNA(VLOOKUP($A29,Chile!$A:$I,9,FALSE)," ")</f>
        <v xml:space="preserve"> </v>
      </c>
      <c r="N28" s="242" t="str">
        <f>_xlfn.IFNA(VLOOKUP($A29,Colombia!$A:$I,9,FALSE)," ")</f>
        <v xml:space="preserve"> </v>
      </c>
      <c r="O28" s="242" t="str">
        <f>_xlfn.IFNA(VLOOKUP($A29,Ecuador!$A:$I,9,FALSE)," ")</f>
        <v xml:space="preserve"> </v>
      </c>
      <c r="P28" s="242" t="str">
        <f>_xlfn.IFNA(VLOOKUP($A29,Guatemala!$A:$I,9,FALSE)," ")</f>
        <v xml:space="preserve"> </v>
      </c>
      <c r="Q28" s="242" t="str">
        <f>_xlfn.IFNA(VLOOKUP($A29,Mexico!$A:$I,9,FALSE)," ")</f>
        <v xml:space="preserve"> </v>
      </c>
      <c r="R28" s="242" t="str">
        <f>_xlfn.IFNA(VLOOKUP($A29,Nicaragua!$A:$I,9,FALSE)," ")</f>
        <v xml:space="preserve"> </v>
      </c>
      <c r="S28" s="242" t="str">
        <f>_xlfn.IFNA(VLOOKUP($A29,Peru!$A:$I,9,FALSE)," ")</f>
        <v xml:space="preserve"> </v>
      </c>
      <c r="T28" s="242" t="str">
        <f>_xlfn.IFNA(VLOOKUP($A29,PuertoRico!$A:$I,9,FALSE)," ")</f>
        <v xml:space="preserve"> </v>
      </c>
      <c r="U28" s="242" t="str">
        <f>_xlfn.IFNA(VLOOKUP($A29,Uruguay!$A:$I,9,FALSE)," ")</f>
        <v xml:space="preserve"> </v>
      </c>
      <c r="V28" s="235" t="str">
        <f>_xlfn.IFNA(VLOOKUP($A29,Venezuela!$A:$I,9,FALSE)," ")</f>
        <v xml:space="preserve"> </v>
      </c>
    </row>
    <row r="29" spans="1:22" x14ac:dyDescent="0.2">
      <c r="J29">
        <f>24-COUNTBLANK(J4:J28)</f>
        <v>1</v>
      </c>
      <c r="K29">
        <f t="shared" ref="K29:V29" si="1">24-COUNTBLANK(K4:K28)</f>
        <v>11</v>
      </c>
      <c r="L29">
        <f t="shared" si="1"/>
        <v>6</v>
      </c>
      <c r="M29">
        <f t="shared" si="1"/>
        <v>1</v>
      </c>
      <c r="N29">
        <f t="shared" si="1"/>
        <v>9</v>
      </c>
      <c r="O29">
        <f t="shared" si="1"/>
        <v>9</v>
      </c>
      <c r="P29">
        <f t="shared" si="1"/>
        <v>4</v>
      </c>
      <c r="Q29">
        <f t="shared" si="1"/>
        <v>3</v>
      </c>
      <c r="R29">
        <f t="shared" si="1"/>
        <v>2</v>
      </c>
      <c r="S29">
        <f t="shared" si="1"/>
        <v>3</v>
      </c>
      <c r="T29">
        <f t="shared" si="1"/>
        <v>0</v>
      </c>
      <c r="U29">
        <f t="shared" si="1"/>
        <v>0</v>
      </c>
      <c r="V29">
        <f t="shared" si="1"/>
        <v>3</v>
      </c>
    </row>
  </sheetData>
  <autoFilter ref="A2:I28" xr:uid="{00000000-0001-0000-0000-000000000000}"/>
  <mergeCells count="4">
    <mergeCell ref="B1:C1"/>
    <mergeCell ref="D1:E1"/>
    <mergeCell ref="F1:G1"/>
    <mergeCell ref="J1:V1"/>
  </mergeCells>
  <conditionalFormatting sqref="I1:I1048576">
    <cfRule type="expression" dxfId="0" priority="1">
      <formula>"&lt;&gt; ISNA()"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4E63-CEB5-5F42-98A0-689E35988257}">
  <dimension ref="A1:I29"/>
  <sheetViews>
    <sheetView workbookViewId="0">
      <selection activeCell="I5" sqref="I5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38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194</v>
      </c>
      <c r="C4" s="80">
        <v>0.48621999999999999</v>
      </c>
      <c r="D4" s="79">
        <v>205</v>
      </c>
      <c r="E4" s="80">
        <v>0.51378000000000001</v>
      </c>
      <c r="F4" s="79">
        <v>399</v>
      </c>
      <c r="G4" s="80">
        <v>1</v>
      </c>
      <c r="H4" s="77"/>
      <c r="I4" s="95"/>
    </row>
    <row r="5" spans="1:9" x14ac:dyDescent="0.2">
      <c r="A5" s="96" t="s">
        <v>7</v>
      </c>
      <c r="B5" s="81">
        <v>0.82199999999999995</v>
      </c>
      <c r="C5" s="82">
        <v>0.38300000000000001</v>
      </c>
      <c r="D5" s="81">
        <v>0.85599999999999998</v>
      </c>
      <c r="E5" s="82">
        <v>0.35199999999999998</v>
      </c>
      <c r="F5" s="81">
        <v>0.84</v>
      </c>
      <c r="G5" s="82">
        <v>0.36699999999999999</v>
      </c>
      <c r="H5" s="82">
        <v>0.38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0.80600000000000005</v>
      </c>
      <c r="C6" s="82">
        <v>0.39600000000000002</v>
      </c>
      <c r="D6" s="81">
        <v>0.77400000000000002</v>
      </c>
      <c r="E6" s="82">
        <v>0.41899999999999998</v>
      </c>
      <c r="F6" s="81">
        <v>0.79</v>
      </c>
      <c r="G6" s="82">
        <v>0.40799999999999997</v>
      </c>
      <c r="H6" s="82">
        <v>0.443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6" t="s">
        <v>9</v>
      </c>
      <c r="B7" s="81">
        <v>0.96099999999999997</v>
      </c>
      <c r="C7" s="82">
        <v>0.19500000000000001</v>
      </c>
      <c r="D7" s="81">
        <v>0.97799999999999998</v>
      </c>
      <c r="E7" s="82">
        <v>0.14699999999999999</v>
      </c>
      <c r="F7" s="81">
        <v>0.96899999999999997</v>
      </c>
      <c r="G7" s="82">
        <v>0.17299999999999999</v>
      </c>
      <c r="H7" s="82">
        <v>0.34499999999999997</v>
      </c>
      <c r="I7" s="95" t="str">
        <f t="shared" si="0"/>
        <v/>
      </c>
    </row>
    <row r="8" spans="1:9" x14ac:dyDescent="0.2">
      <c r="A8" s="96" t="s">
        <v>10</v>
      </c>
      <c r="B8" s="81">
        <v>0.10299999999999999</v>
      </c>
      <c r="C8" s="82">
        <v>0.30499999999999999</v>
      </c>
      <c r="D8" s="81">
        <v>6.3E-2</v>
      </c>
      <c r="E8" s="82">
        <v>0.24399999999999999</v>
      </c>
      <c r="F8" s="81">
        <v>8.3000000000000004E-2</v>
      </c>
      <c r="G8" s="82">
        <v>0.27600000000000002</v>
      </c>
      <c r="H8" s="82">
        <v>0.151</v>
      </c>
      <c r="I8" s="95" t="str">
        <f t="shared" si="0"/>
        <v/>
      </c>
    </row>
    <row r="9" spans="1:9" x14ac:dyDescent="0.2">
      <c r="A9" s="96" t="s">
        <v>11</v>
      </c>
      <c r="B9" s="81">
        <v>0.78</v>
      </c>
      <c r="C9" s="82">
        <v>0.41599999999999998</v>
      </c>
      <c r="D9" s="81">
        <v>0.71299999999999997</v>
      </c>
      <c r="E9" s="82">
        <v>0.45400000000000001</v>
      </c>
      <c r="F9" s="81">
        <v>0.745</v>
      </c>
      <c r="G9" s="82">
        <v>0.436</v>
      </c>
      <c r="H9" s="82">
        <v>0.13600000000000001</v>
      </c>
      <c r="I9" s="95" t="str">
        <f t="shared" si="0"/>
        <v/>
      </c>
    </row>
    <row r="10" spans="1:9" x14ac:dyDescent="0.2">
      <c r="A10" s="96" t="s">
        <v>12</v>
      </c>
      <c r="B10" s="81">
        <v>0.46899999999999997</v>
      </c>
      <c r="C10" s="82">
        <v>0.5</v>
      </c>
      <c r="D10" s="81">
        <v>0.51200000000000001</v>
      </c>
      <c r="E10" s="82">
        <v>0.501</v>
      </c>
      <c r="F10" s="81">
        <v>0.49099999999999999</v>
      </c>
      <c r="G10" s="82">
        <v>0.501</v>
      </c>
      <c r="H10" s="82">
        <v>0.39</v>
      </c>
      <c r="I10" s="95" t="str">
        <f t="shared" si="0"/>
        <v/>
      </c>
    </row>
    <row r="11" spans="1:9" x14ac:dyDescent="0.2">
      <c r="A11" s="96" t="s">
        <v>13</v>
      </c>
      <c r="B11" s="81">
        <v>0.93100000000000005</v>
      </c>
      <c r="C11" s="82">
        <v>0.255</v>
      </c>
      <c r="D11" s="81">
        <v>0.92300000000000004</v>
      </c>
      <c r="E11" s="82">
        <v>0.26800000000000002</v>
      </c>
      <c r="F11" s="81">
        <v>0.92700000000000005</v>
      </c>
      <c r="G11" s="82">
        <v>0.26100000000000001</v>
      </c>
      <c r="H11" s="82">
        <v>0.77400000000000002</v>
      </c>
      <c r="I11" s="95" t="str">
        <f t="shared" si="0"/>
        <v/>
      </c>
    </row>
    <row r="12" spans="1:9" x14ac:dyDescent="0.2">
      <c r="A12" s="96" t="s">
        <v>14</v>
      </c>
      <c r="B12" s="81">
        <v>0.81899999999999995</v>
      </c>
      <c r="C12" s="82">
        <v>0.38600000000000001</v>
      </c>
      <c r="D12" s="81">
        <v>0.876</v>
      </c>
      <c r="E12" s="82">
        <v>0.33100000000000002</v>
      </c>
      <c r="F12" s="81">
        <v>0.84799999999999998</v>
      </c>
      <c r="G12" s="82">
        <v>0.35899999999999999</v>
      </c>
      <c r="H12" s="82">
        <v>0.13500000000000001</v>
      </c>
      <c r="I12" s="95" t="str">
        <f t="shared" si="0"/>
        <v/>
      </c>
    </row>
    <row r="13" spans="1:9" x14ac:dyDescent="0.2">
      <c r="A13" s="96" t="s">
        <v>15</v>
      </c>
      <c r="B13" s="81">
        <v>0.113</v>
      </c>
      <c r="C13" s="82">
        <v>0.318</v>
      </c>
      <c r="D13" s="81">
        <v>9.8000000000000004E-2</v>
      </c>
      <c r="E13" s="82">
        <v>0.29699999999999999</v>
      </c>
      <c r="F13" s="81">
        <v>0.105</v>
      </c>
      <c r="G13" s="82">
        <v>0.307</v>
      </c>
      <c r="H13" s="82">
        <v>0.60699999999999998</v>
      </c>
      <c r="I13" s="95" t="str">
        <f t="shared" si="0"/>
        <v/>
      </c>
    </row>
    <row r="14" spans="1:9" x14ac:dyDescent="0.2">
      <c r="A14" s="96" t="s">
        <v>16</v>
      </c>
      <c r="B14" s="81">
        <v>0.90900000000000003</v>
      </c>
      <c r="C14" s="82">
        <v>0.28799999999999998</v>
      </c>
      <c r="D14" s="81">
        <v>0.90800000000000003</v>
      </c>
      <c r="E14" s="82">
        <v>0.28999999999999998</v>
      </c>
      <c r="F14" s="81">
        <v>0.90900000000000003</v>
      </c>
      <c r="G14" s="82">
        <v>0.28899999999999998</v>
      </c>
      <c r="H14" s="82">
        <v>0.97399999999999998</v>
      </c>
      <c r="I14" s="95" t="str">
        <f t="shared" si="0"/>
        <v/>
      </c>
    </row>
    <row r="15" spans="1:9" x14ac:dyDescent="0.2">
      <c r="A15" s="96" t="s">
        <v>17</v>
      </c>
      <c r="B15" s="81">
        <v>0.79300000000000004</v>
      </c>
      <c r="C15" s="82">
        <v>0.40600000000000003</v>
      </c>
      <c r="D15" s="81">
        <v>0.79900000000000004</v>
      </c>
      <c r="E15" s="82">
        <v>0.40200000000000002</v>
      </c>
      <c r="F15" s="81">
        <v>0.79600000000000004</v>
      </c>
      <c r="G15" s="82">
        <v>0.40300000000000002</v>
      </c>
      <c r="H15" s="82">
        <v>0.89200000000000002</v>
      </c>
      <c r="I15" s="95" t="str">
        <f t="shared" si="0"/>
        <v/>
      </c>
    </row>
    <row r="16" spans="1:9" x14ac:dyDescent="0.2">
      <c r="A16" s="96" t="s">
        <v>18</v>
      </c>
      <c r="B16" s="81">
        <v>0.97599999999999998</v>
      </c>
      <c r="C16" s="82">
        <v>0.152</v>
      </c>
      <c r="D16" s="81">
        <v>0.95599999999999996</v>
      </c>
      <c r="E16" s="82">
        <v>0.20699999999999999</v>
      </c>
      <c r="F16" s="81">
        <v>0.96599999999999997</v>
      </c>
      <c r="G16" s="82">
        <v>0.182</v>
      </c>
      <c r="H16" s="82">
        <v>0.28399999999999997</v>
      </c>
      <c r="I16" s="95" t="str">
        <f t="shared" si="0"/>
        <v/>
      </c>
    </row>
    <row r="17" spans="1:9" x14ac:dyDescent="0.2">
      <c r="A17" s="96" t="s">
        <v>19</v>
      </c>
      <c r="B17" s="81">
        <v>0.85599999999999998</v>
      </c>
      <c r="C17" s="82">
        <v>0.35199999999999998</v>
      </c>
      <c r="D17" s="81">
        <v>0.879</v>
      </c>
      <c r="E17" s="82">
        <v>0.32600000000000001</v>
      </c>
      <c r="F17" s="81">
        <v>0.86799999999999999</v>
      </c>
      <c r="G17" s="82">
        <v>0.33900000000000002</v>
      </c>
      <c r="H17" s="82">
        <v>0.505</v>
      </c>
      <c r="I17" s="95" t="str">
        <f t="shared" si="0"/>
        <v/>
      </c>
    </row>
    <row r="18" spans="1:9" x14ac:dyDescent="0.2">
      <c r="A18" s="96" t="s">
        <v>20</v>
      </c>
      <c r="B18" s="81">
        <v>0.39100000000000001</v>
      </c>
      <c r="C18" s="82">
        <v>0.48899999999999999</v>
      </c>
      <c r="D18" s="81">
        <v>0.32700000000000001</v>
      </c>
      <c r="E18" s="82">
        <v>0.47</v>
      </c>
      <c r="F18" s="81">
        <v>0.35799999999999998</v>
      </c>
      <c r="G18" s="82">
        <v>0.48</v>
      </c>
      <c r="H18" s="82">
        <v>0.186</v>
      </c>
      <c r="I18" s="95" t="str">
        <f t="shared" si="0"/>
        <v/>
      </c>
    </row>
    <row r="19" spans="1:9" x14ac:dyDescent="0.2">
      <c r="A19" s="96" t="s">
        <v>22</v>
      </c>
      <c r="B19" s="81">
        <v>0.73399999999999999</v>
      </c>
      <c r="C19" s="82">
        <v>0.443</v>
      </c>
      <c r="D19" s="81">
        <v>0.68300000000000005</v>
      </c>
      <c r="E19" s="82">
        <v>0.46600000000000003</v>
      </c>
      <c r="F19" s="81">
        <v>0.70799999999999996</v>
      </c>
      <c r="G19" s="82">
        <v>0.45500000000000002</v>
      </c>
      <c r="H19" s="82">
        <v>0.27100000000000002</v>
      </c>
      <c r="I19" s="95" t="str">
        <f t="shared" si="0"/>
        <v/>
      </c>
    </row>
    <row r="20" spans="1:9" x14ac:dyDescent="0.2">
      <c r="A20" s="96" t="s">
        <v>23</v>
      </c>
      <c r="B20" s="81">
        <v>0.435</v>
      </c>
      <c r="C20" s="82">
        <v>0.497</v>
      </c>
      <c r="D20" s="81">
        <v>0.36499999999999999</v>
      </c>
      <c r="E20" s="82">
        <v>0.48199999999999998</v>
      </c>
      <c r="F20" s="81">
        <v>0.39800000000000002</v>
      </c>
      <c r="G20" s="82">
        <v>0.49</v>
      </c>
      <c r="H20" s="82">
        <v>0.157</v>
      </c>
      <c r="I20" s="95" t="str">
        <f t="shared" si="0"/>
        <v/>
      </c>
    </row>
    <row r="21" spans="1:9" x14ac:dyDescent="0.2">
      <c r="A21" s="96" t="s">
        <v>24</v>
      </c>
      <c r="B21" s="81">
        <v>0.439</v>
      </c>
      <c r="C21" s="82">
        <v>0.498</v>
      </c>
      <c r="D21" s="81">
        <v>0.38400000000000001</v>
      </c>
      <c r="E21" s="82">
        <v>0.48799999999999999</v>
      </c>
      <c r="F21" s="81">
        <v>0.41099999999999998</v>
      </c>
      <c r="G21" s="82">
        <v>0.49299999999999999</v>
      </c>
      <c r="H21" s="82">
        <v>0.30399999999999999</v>
      </c>
      <c r="I21" s="95" t="str">
        <f t="shared" si="0"/>
        <v/>
      </c>
    </row>
    <row r="22" spans="1:9" x14ac:dyDescent="0.2">
      <c r="A22" s="97" t="s">
        <v>25</v>
      </c>
      <c r="B22" s="83">
        <v>0.42599999999999999</v>
      </c>
      <c r="C22" s="84">
        <v>0.496</v>
      </c>
      <c r="D22" s="83">
        <v>0.314</v>
      </c>
      <c r="E22" s="84">
        <v>0.46500000000000002</v>
      </c>
      <c r="F22" s="83">
        <v>0.36799999999999999</v>
      </c>
      <c r="G22" s="84">
        <v>0.48299999999999998</v>
      </c>
      <c r="H22" s="84">
        <v>2.1000000000000001E-2</v>
      </c>
      <c r="I22" s="95" t="str">
        <f t="shared" si="0"/>
        <v>**</v>
      </c>
    </row>
    <row r="23" spans="1:9" x14ac:dyDescent="0.2">
      <c r="A23" s="96" t="s">
        <v>26</v>
      </c>
      <c r="B23" s="81">
        <v>0.74299999999999999</v>
      </c>
      <c r="C23" s="82">
        <v>0.439</v>
      </c>
      <c r="D23" s="81">
        <v>0.71</v>
      </c>
      <c r="E23" s="82">
        <v>0.45500000000000002</v>
      </c>
      <c r="F23" s="81">
        <v>0.72599999999999998</v>
      </c>
      <c r="G23" s="82">
        <v>0.44700000000000001</v>
      </c>
      <c r="H23" s="82">
        <v>0.50600000000000001</v>
      </c>
      <c r="I23" s="95" t="str">
        <f t="shared" si="0"/>
        <v/>
      </c>
    </row>
    <row r="24" spans="1:9" x14ac:dyDescent="0.2">
      <c r="A24" s="96" t="s">
        <v>28</v>
      </c>
      <c r="B24" s="81">
        <v>0.47199999999999998</v>
      </c>
      <c r="C24" s="82">
        <v>0.5</v>
      </c>
      <c r="D24" s="81">
        <v>0.53800000000000003</v>
      </c>
      <c r="E24" s="82">
        <v>0.5</v>
      </c>
      <c r="F24" s="81">
        <v>0.505</v>
      </c>
      <c r="G24" s="82">
        <v>0.501</v>
      </c>
      <c r="H24" s="82">
        <v>0.19</v>
      </c>
      <c r="I24" s="95" t="str">
        <f t="shared" si="0"/>
        <v/>
      </c>
    </row>
    <row r="25" spans="1:9" x14ac:dyDescent="0.2">
      <c r="A25" s="96" t="s">
        <v>29</v>
      </c>
      <c r="B25" s="81">
        <v>0.90800000000000003</v>
      </c>
      <c r="C25" s="82">
        <v>0.28999999999999998</v>
      </c>
      <c r="D25" s="81">
        <v>0.92400000000000004</v>
      </c>
      <c r="E25" s="82">
        <v>0.26500000000000001</v>
      </c>
      <c r="F25" s="81">
        <v>0.91600000000000004</v>
      </c>
      <c r="G25" s="82">
        <v>0.27700000000000002</v>
      </c>
      <c r="H25" s="82">
        <v>0.56999999999999995</v>
      </c>
      <c r="I25" s="95" t="str">
        <f t="shared" si="0"/>
        <v/>
      </c>
    </row>
    <row r="26" spans="1:9" x14ac:dyDescent="0.2">
      <c r="A26" s="96" t="s">
        <v>30</v>
      </c>
      <c r="B26" s="81">
        <v>0.95299999999999996</v>
      </c>
      <c r="C26" s="82">
        <v>0.21199999999999999</v>
      </c>
      <c r="D26" s="81">
        <v>0.95099999999999996</v>
      </c>
      <c r="E26" s="82">
        <v>0.217</v>
      </c>
      <c r="F26" s="81">
        <v>0.95199999999999996</v>
      </c>
      <c r="G26" s="82">
        <v>0.215</v>
      </c>
      <c r="H26" s="82">
        <v>0.92100000000000004</v>
      </c>
      <c r="I26" s="95" t="str">
        <f t="shared" si="0"/>
        <v/>
      </c>
    </row>
    <row r="27" spans="1:9" x14ac:dyDescent="0.2">
      <c r="A27" s="96" t="s">
        <v>31</v>
      </c>
      <c r="B27" s="81">
        <v>0.28999999999999998</v>
      </c>
      <c r="C27" s="82">
        <v>0.45500000000000002</v>
      </c>
      <c r="D27" s="81">
        <v>0.28599999999999998</v>
      </c>
      <c r="E27" s="82">
        <v>0.45300000000000001</v>
      </c>
      <c r="F27" s="81">
        <v>0.28799999999999998</v>
      </c>
      <c r="G27" s="82">
        <v>0.45400000000000001</v>
      </c>
      <c r="H27" s="82">
        <v>0.93500000000000005</v>
      </c>
      <c r="I27" s="95" t="str">
        <f t="shared" si="0"/>
        <v/>
      </c>
    </row>
    <row r="28" spans="1:9" x14ac:dyDescent="0.2">
      <c r="A28" s="96" t="s">
        <v>32</v>
      </c>
      <c r="B28" s="81">
        <v>0.13700000000000001</v>
      </c>
      <c r="C28" s="82">
        <v>0.34499999999999997</v>
      </c>
      <c r="D28" s="81">
        <v>0.13300000000000001</v>
      </c>
      <c r="E28" s="82">
        <v>0.34100000000000003</v>
      </c>
      <c r="F28" s="81">
        <v>0.13500000000000001</v>
      </c>
      <c r="G28" s="82">
        <v>0.34200000000000003</v>
      </c>
      <c r="H28" s="82">
        <v>0.92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0.25</v>
      </c>
      <c r="C29" s="100">
        <v>0.434</v>
      </c>
      <c r="D29" s="99">
        <v>0.22</v>
      </c>
      <c r="E29" s="100">
        <v>0.41499999999999998</v>
      </c>
      <c r="F29" s="99">
        <v>0.23499999999999999</v>
      </c>
      <c r="G29" s="100">
        <v>0.42399999999999999</v>
      </c>
      <c r="H29" s="100">
        <v>0.49099999999999999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3BD2-9F7D-E04F-89FF-D572D9B44A36}">
  <dimension ref="A1:I29"/>
  <sheetViews>
    <sheetView workbookViewId="0">
      <selection activeCell="I23" sqref="I23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44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493</v>
      </c>
      <c r="C4" s="80">
        <v>0.48050999999999999</v>
      </c>
      <c r="D4" s="79">
        <v>533</v>
      </c>
      <c r="E4" s="80">
        <v>0.51949000000000001</v>
      </c>
      <c r="F4" s="79">
        <v>1026</v>
      </c>
      <c r="G4" s="80">
        <v>1</v>
      </c>
      <c r="H4" s="77"/>
      <c r="I4" s="95"/>
    </row>
    <row r="5" spans="1:9" x14ac:dyDescent="0.2">
      <c r="A5" s="96" t="s">
        <v>7</v>
      </c>
      <c r="B5" s="81">
        <v>0.86299999999999999</v>
      </c>
      <c r="C5" s="82">
        <v>0.34399999999999997</v>
      </c>
      <c r="D5" s="81">
        <v>0.873</v>
      </c>
      <c r="E5" s="82">
        <v>0.33300000000000002</v>
      </c>
      <c r="F5" s="81">
        <v>0.86799999999999999</v>
      </c>
      <c r="G5" s="82">
        <v>0.33800000000000002</v>
      </c>
      <c r="H5" s="82">
        <v>0.63600000000000001</v>
      </c>
      <c r="I5" s="95" t="str">
        <f t="shared" ref="I5:I29" si="0"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0.89500000000000002</v>
      </c>
      <c r="C6" s="82">
        <v>0.307</v>
      </c>
      <c r="D6" s="81">
        <v>0.91200000000000003</v>
      </c>
      <c r="E6" s="82">
        <v>0.28399999999999997</v>
      </c>
      <c r="F6" s="81">
        <v>0.90300000000000002</v>
      </c>
      <c r="G6" s="82">
        <v>0.29599999999999999</v>
      </c>
      <c r="H6" s="82">
        <v>0.36099999999999999</v>
      </c>
      <c r="I6" s="95" t="str">
        <f t="shared" si="0"/>
        <v/>
      </c>
    </row>
    <row r="7" spans="1:9" x14ac:dyDescent="0.2">
      <c r="A7" s="96" t="s">
        <v>9</v>
      </c>
      <c r="B7" s="81">
        <v>0.96799999999999997</v>
      </c>
      <c r="C7" s="82">
        <v>0.17699999999999999</v>
      </c>
      <c r="D7" s="81">
        <v>0.97099999999999997</v>
      </c>
      <c r="E7" s="82">
        <v>0.16800000000000001</v>
      </c>
      <c r="F7" s="81">
        <v>0.96899999999999997</v>
      </c>
      <c r="G7" s="82">
        <v>0.17199999999999999</v>
      </c>
      <c r="H7" s="82">
        <v>0.77</v>
      </c>
      <c r="I7" s="95" t="str">
        <f t="shared" si="0"/>
        <v/>
      </c>
    </row>
    <row r="8" spans="1:9" x14ac:dyDescent="0.2">
      <c r="A8" s="97" t="s">
        <v>10</v>
      </c>
      <c r="B8" s="83">
        <v>0.106</v>
      </c>
      <c r="C8" s="84">
        <v>0.308</v>
      </c>
      <c r="D8" s="83">
        <v>5.5E-2</v>
      </c>
      <c r="E8" s="84">
        <v>0.22800000000000001</v>
      </c>
      <c r="F8" s="83">
        <v>7.9000000000000001E-2</v>
      </c>
      <c r="G8" s="84">
        <v>0.27</v>
      </c>
      <c r="H8" s="84">
        <v>3.0000000000000001E-3</v>
      </c>
      <c r="I8" s="95" t="str">
        <f t="shared" si="0"/>
        <v>***</v>
      </c>
    </row>
    <row r="9" spans="1:9" x14ac:dyDescent="0.2">
      <c r="A9" s="96" t="s">
        <v>11</v>
      </c>
      <c r="B9" s="81">
        <v>0.77800000000000002</v>
      </c>
      <c r="C9" s="82">
        <v>0.41599999999999998</v>
      </c>
      <c r="D9" s="81">
        <v>0.78800000000000003</v>
      </c>
      <c r="E9" s="82">
        <v>0.40899999999999997</v>
      </c>
      <c r="F9" s="81">
        <v>0.78300000000000003</v>
      </c>
      <c r="G9" s="82">
        <v>0.41199999999999998</v>
      </c>
      <c r="H9" s="82">
        <v>0.70099999999999996</v>
      </c>
      <c r="I9" s="95" t="str">
        <f t="shared" si="0"/>
        <v/>
      </c>
    </row>
    <row r="10" spans="1:9" x14ac:dyDescent="0.2">
      <c r="A10" s="97" t="s">
        <v>12</v>
      </c>
      <c r="B10" s="83">
        <v>0.55700000000000005</v>
      </c>
      <c r="C10" s="84">
        <v>0.497</v>
      </c>
      <c r="D10" s="83">
        <v>0.63400000000000001</v>
      </c>
      <c r="E10" s="84">
        <v>0.48199999999999998</v>
      </c>
      <c r="F10" s="83">
        <v>0.59699999999999998</v>
      </c>
      <c r="G10" s="84">
        <v>0.49099999999999999</v>
      </c>
      <c r="H10" s="84">
        <v>1.2E-2</v>
      </c>
      <c r="I10" s="95" t="str">
        <f t="shared" si="0"/>
        <v>**</v>
      </c>
    </row>
    <row r="11" spans="1:9" x14ac:dyDescent="0.2">
      <c r="A11" s="97" t="s">
        <v>13</v>
      </c>
      <c r="B11" s="83">
        <v>0.93300000000000005</v>
      </c>
      <c r="C11" s="84">
        <v>0.251</v>
      </c>
      <c r="D11" s="83">
        <v>0.95699999999999996</v>
      </c>
      <c r="E11" s="84">
        <v>0.20200000000000001</v>
      </c>
      <c r="F11" s="83">
        <v>0.94499999999999995</v>
      </c>
      <c r="G11" s="84">
        <v>0.22700000000000001</v>
      </c>
      <c r="H11" s="84">
        <v>8.2000000000000003E-2</v>
      </c>
      <c r="I11" s="95" t="str">
        <f t="shared" si="0"/>
        <v>*</v>
      </c>
    </row>
    <row r="12" spans="1:9" x14ac:dyDescent="0.2">
      <c r="A12" s="96" t="s">
        <v>14</v>
      </c>
      <c r="B12" s="81">
        <v>0.91600000000000004</v>
      </c>
      <c r="C12" s="82">
        <v>0.27700000000000002</v>
      </c>
      <c r="D12" s="81">
        <v>0.90800000000000003</v>
      </c>
      <c r="E12" s="82">
        <v>0.28899999999999998</v>
      </c>
      <c r="F12" s="81">
        <v>0.91200000000000003</v>
      </c>
      <c r="G12" s="82">
        <v>0.28299999999999997</v>
      </c>
      <c r="H12" s="82">
        <v>0.65600000000000003</v>
      </c>
      <c r="I12" s="95" t="str">
        <f t="shared" si="0"/>
        <v/>
      </c>
    </row>
    <row r="13" spans="1:9" x14ac:dyDescent="0.2">
      <c r="A13" s="97" t="s">
        <v>15</v>
      </c>
      <c r="B13" s="83">
        <v>0.19700000000000001</v>
      </c>
      <c r="C13" s="84">
        <v>0.39800000000000002</v>
      </c>
      <c r="D13" s="83">
        <v>0.14499999999999999</v>
      </c>
      <c r="E13" s="84">
        <v>0.35299999999999998</v>
      </c>
      <c r="F13" s="83">
        <v>0.17</v>
      </c>
      <c r="G13" s="84">
        <v>0.376</v>
      </c>
      <c r="H13" s="84">
        <v>2.9000000000000001E-2</v>
      </c>
      <c r="I13" s="95" t="str">
        <f t="shared" si="0"/>
        <v>**</v>
      </c>
    </row>
    <row r="14" spans="1:9" x14ac:dyDescent="0.2">
      <c r="A14" s="97" t="s">
        <v>16</v>
      </c>
      <c r="B14" s="83">
        <v>0.95</v>
      </c>
      <c r="C14" s="84">
        <v>0.218</v>
      </c>
      <c r="D14" s="83">
        <v>0.98</v>
      </c>
      <c r="E14" s="84">
        <v>0.14099999999999999</v>
      </c>
      <c r="F14" s="83">
        <v>0.96499999999999997</v>
      </c>
      <c r="G14" s="84">
        <v>0.184</v>
      </c>
      <c r="H14" s="84">
        <v>1.2E-2</v>
      </c>
      <c r="I14" s="95" t="str">
        <f t="shared" si="0"/>
        <v>**</v>
      </c>
    </row>
    <row r="15" spans="1:9" x14ac:dyDescent="0.2">
      <c r="A15" s="97" t="s">
        <v>17</v>
      </c>
      <c r="B15" s="83">
        <v>0.79500000000000004</v>
      </c>
      <c r="C15" s="84">
        <v>0.40400000000000003</v>
      </c>
      <c r="D15" s="83">
        <v>0.84599999999999997</v>
      </c>
      <c r="E15" s="84">
        <v>0.36199999999999999</v>
      </c>
      <c r="F15" s="83">
        <v>0.82099999999999995</v>
      </c>
      <c r="G15" s="84">
        <v>0.38400000000000001</v>
      </c>
      <c r="H15" s="84">
        <v>3.9E-2</v>
      </c>
      <c r="I15" s="95" t="str">
        <f t="shared" si="0"/>
        <v>**</v>
      </c>
    </row>
    <row r="16" spans="1:9" x14ac:dyDescent="0.2">
      <c r="A16" s="96" t="s">
        <v>18</v>
      </c>
      <c r="B16" s="81">
        <v>0.96099999999999997</v>
      </c>
      <c r="C16" s="82">
        <v>0.19400000000000001</v>
      </c>
      <c r="D16" s="81">
        <v>0.97</v>
      </c>
      <c r="E16" s="82">
        <v>0.17</v>
      </c>
      <c r="F16" s="81">
        <v>0.96599999999999997</v>
      </c>
      <c r="G16" s="82">
        <v>0.183</v>
      </c>
      <c r="H16" s="82">
        <v>0.42</v>
      </c>
      <c r="I16" s="95" t="str">
        <f t="shared" si="0"/>
        <v/>
      </c>
    </row>
    <row r="17" spans="1:9" x14ac:dyDescent="0.2">
      <c r="A17" s="97" t="s">
        <v>19</v>
      </c>
      <c r="B17" s="83">
        <v>0.86399999999999999</v>
      </c>
      <c r="C17" s="84">
        <v>0.34300000000000003</v>
      </c>
      <c r="D17" s="83">
        <v>0.93600000000000005</v>
      </c>
      <c r="E17" s="84">
        <v>0.245</v>
      </c>
      <c r="F17" s="83">
        <v>0.90100000000000002</v>
      </c>
      <c r="G17" s="84">
        <v>0.29799999999999999</v>
      </c>
      <c r="H17" s="84" t="s">
        <v>5</v>
      </c>
      <c r="I17" s="95" t="s">
        <v>21</v>
      </c>
    </row>
    <row r="18" spans="1:9" x14ac:dyDescent="0.2">
      <c r="A18" s="97" t="s">
        <v>20</v>
      </c>
      <c r="B18" s="83">
        <v>0.215</v>
      </c>
      <c r="C18" s="84">
        <v>0.41099999999999998</v>
      </c>
      <c r="D18" s="83">
        <v>0.16900000000000001</v>
      </c>
      <c r="E18" s="84">
        <v>0.375</v>
      </c>
      <c r="F18" s="83">
        <v>0.191</v>
      </c>
      <c r="G18" s="84">
        <v>0.39300000000000002</v>
      </c>
      <c r="H18" s="84">
        <v>0.06</v>
      </c>
      <c r="I18" s="95" t="str">
        <f t="shared" si="0"/>
        <v>*</v>
      </c>
    </row>
    <row r="19" spans="1:9" x14ac:dyDescent="0.2">
      <c r="A19" s="96" t="s">
        <v>22</v>
      </c>
      <c r="B19" s="81">
        <v>0.626</v>
      </c>
      <c r="C19" s="82">
        <v>0.48399999999999999</v>
      </c>
      <c r="D19" s="81">
        <v>0.65300000000000002</v>
      </c>
      <c r="E19" s="82">
        <v>0.47599999999999998</v>
      </c>
      <c r="F19" s="81">
        <v>0.64</v>
      </c>
      <c r="G19" s="82">
        <v>0.48</v>
      </c>
      <c r="H19" s="82">
        <v>0.371</v>
      </c>
      <c r="I19" s="95" t="str">
        <f t="shared" si="0"/>
        <v/>
      </c>
    </row>
    <row r="20" spans="1:9" x14ac:dyDescent="0.2">
      <c r="A20" s="97" t="s">
        <v>23</v>
      </c>
      <c r="B20" s="83">
        <v>0.45300000000000001</v>
      </c>
      <c r="C20" s="84">
        <v>0.498</v>
      </c>
      <c r="D20" s="83">
        <v>0.59299999999999997</v>
      </c>
      <c r="E20" s="84">
        <v>0.49199999999999999</v>
      </c>
      <c r="F20" s="83">
        <v>0.52600000000000002</v>
      </c>
      <c r="G20" s="84">
        <v>0.5</v>
      </c>
      <c r="H20" s="84" t="s">
        <v>5</v>
      </c>
      <c r="I20" s="95" t="s">
        <v>21</v>
      </c>
    </row>
    <row r="21" spans="1:9" x14ac:dyDescent="0.2">
      <c r="A21" s="97" t="s">
        <v>24</v>
      </c>
      <c r="B21" s="83">
        <v>0.436</v>
      </c>
      <c r="C21" s="84">
        <v>0.496</v>
      </c>
      <c r="D21" s="83">
        <v>0.57199999999999995</v>
      </c>
      <c r="E21" s="84">
        <v>0.495</v>
      </c>
      <c r="F21" s="83">
        <v>0.50600000000000001</v>
      </c>
      <c r="G21" s="84">
        <v>0.5</v>
      </c>
      <c r="H21" s="84" t="s">
        <v>5</v>
      </c>
      <c r="I21" s="95" t="s">
        <v>21</v>
      </c>
    </row>
    <row r="22" spans="1:9" x14ac:dyDescent="0.2">
      <c r="A22" s="97" t="s">
        <v>25</v>
      </c>
      <c r="B22" s="83">
        <v>0.39100000000000001</v>
      </c>
      <c r="C22" s="84">
        <v>0.48899999999999999</v>
      </c>
      <c r="D22" s="83">
        <v>0.29899999999999999</v>
      </c>
      <c r="E22" s="84">
        <v>0.45800000000000002</v>
      </c>
      <c r="F22" s="83">
        <v>0.34300000000000003</v>
      </c>
      <c r="G22" s="84">
        <v>0.47499999999999998</v>
      </c>
      <c r="H22" s="84">
        <v>2E-3</v>
      </c>
      <c r="I22" s="95" t="str">
        <f t="shared" si="0"/>
        <v>***</v>
      </c>
    </row>
    <row r="23" spans="1:9" x14ac:dyDescent="0.2">
      <c r="A23" s="96" t="s">
        <v>26</v>
      </c>
      <c r="B23" s="81" t="s">
        <v>27</v>
      </c>
      <c r="C23" s="82" t="s">
        <v>27</v>
      </c>
      <c r="D23" s="81" t="s">
        <v>27</v>
      </c>
      <c r="E23" s="82" t="s">
        <v>27</v>
      </c>
      <c r="F23" s="81" t="s">
        <v>27</v>
      </c>
      <c r="G23" s="82" t="s">
        <v>27</v>
      </c>
      <c r="I23" s="95"/>
    </row>
    <row r="24" spans="1:9" x14ac:dyDescent="0.2">
      <c r="A24" s="96" t="s">
        <v>28</v>
      </c>
      <c r="B24" s="81">
        <v>0.51400000000000001</v>
      </c>
      <c r="C24" s="82">
        <v>0.5</v>
      </c>
      <c r="D24" s="81">
        <v>0.53300000000000003</v>
      </c>
      <c r="E24" s="82">
        <v>0.499</v>
      </c>
      <c r="F24" s="81">
        <v>0.52400000000000002</v>
      </c>
      <c r="G24" s="82">
        <v>0.5</v>
      </c>
      <c r="H24" s="82">
        <v>0.55600000000000005</v>
      </c>
      <c r="I24" s="95" t="str">
        <f t="shared" si="0"/>
        <v/>
      </c>
    </row>
    <row r="25" spans="1:9" x14ac:dyDescent="0.2">
      <c r="A25" s="96" t="s">
        <v>29</v>
      </c>
      <c r="B25" s="81">
        <v>0.86099999999999999</v>
      </c>
      <c r="C25" s="82">
        <v>0.34599999999999997</v>
      </c>
      <c r="D25" s="81">
        <v>0.86599999999999999</v>
      </c>
      <c r="E25" s="82">
        <v>0.34100000000000003</v>
      </c>
      <c r="F25" s="81">
        <v>0.86399999999999999</v>
      </c>
      <c r="G25" s="82">
        <v>0.34300000000000003</v>
      </c>
      <c r="H25" s="82">
        <v>0.83899999999999997</v>
      </c>
      <c r="I25" s="95" t="str">
        <f t="shared" si="0"/>
        <v/>
      </c>
    </row>
    <row r="26" spans="1:9" x14ac:dyDescent="0.2">
      <c r="A26" s="96" t="s">
        <v>30</v>
      </c>
      <c r="B26" s="81">
        <v>0.88200000000000001</v>
      </c>
      <c r="C26" s="82">
        <v>0.32300000000000001</v>
      </c>
      <c r="D26" s="81">
        <v>0.877</v>
      </c>
      <c r="E26" s="82">
        <v>0.32900000000000001</v>
      </c>
      <c r="F26" s="81">
        <v>0.879</v>
      </c>
      <c r="G26" s="82">
        <v>0.32600000000000001</v>
      </c>
      <c r="H26" s="82">
        <v>0.79900000000000004</v>
      </c>
      <c r="I26" s="95" t="str">
        <f t="shared" si="0"/>
        <v/>
      </c>
    </row>
    <row r="27" spans="1:9" x14ac:dyDescent="0.2">
      <c r="A27" s="96" t="s">
        <v>31</v>
      </c>
      <c r="B27" s="81">
        <v>0.19</v>
      </c>
      <c r="C27" s="82">
        <v>0.39300000000000002</v>
      </c>
      <c r="D27" s="81">
        <v>0.18099999999999999</v>
      </c>
      <c r="E27" s="82">
        <v>0.38600000000000001</v>
      </c>
      <c r="F27" s="81">
        <v>0.185</v>
      </c>
      <c r="G27" s="82">
        <v>0.38900000000000001</v>
      </c>
      <c r="H27" s="82">
        <v>0.72799999999999998</v>
      </c>
      <c r="I27" s="95" t="str">
        <f t="shared" si="0"/>
        <v/>
      </c>
    </row>
    <row r="28" spans="1:9" x14ac:dyDescent="0.2">
      <c r="A28" s="96" t="s">
        <v>32</v>
      </c>
      <c r="B28" s="81">
        <v>4.4999999999999998E-2</v>
      </c>
      <c r="C28" s="82">
        <v>0.20799999999999999</v>
      </c>
      <c r="D28" s="81">
        <v>5.0999999999999997E-2</v>
      </c>
      <c r="E28" s="82">
        <v>0.221</v>
      </c>
      <c r="F28" s="81">
        <v>4.8000000000000001E-2</v>
      </c>
      <c r="G28" s="82">
        <v>0.215</v>
      </c>
      <c r="H28" s="82">
        <v>0.64900000000000002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0.104</v>
      </c>
      <c r="C29" s="100">
        <v>0.30499999999999999</v>
      </c>
      <c r="D29" s="99">
        <v>7.5999999999999998E-2</v>
      </c>
      <c r="E29" s="100">
        <v>0.26600000000000001</v>
      </c>
      <c r="F29" s="99">
        <v>0.09</v>
      </c>
      <c r="G29" s="100">
        <v>0.28599999999999998</v>
      </c>
      <c r="H29" s="100">
        <v>0.13900000000000001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F28F-7569-6640-B87A-4360CE92AAAD}">
  <dimension ref="A1:I29"/>
  <sheetViews>
    <sheetView workbookViewId="0">
      <selection activeCell="A2" sqref="A2:I3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45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276</v>
      </c>
      <c r="C4" s="80">
        <v>0.43328</v>
      </c>
      <c r="D4" s="79">
        <v>361</v>
      </c>
      <c r="E4" s="80">
        <v>0.56672</v>
      </c>
      <c r="F4" s="79">
        <v>637</v>
      </c>
      <c r="G4" s="80">
        <v>1</v>
      </c>
      <c r="H4" s="77"/>
      <c r="I4" s="95"/>
    </row>
    <row r="5" spans="1:9" x14ac:dyDescent="0.2">
      <c r="A5" s="96" t="s">
        <v>7</v>
      </c>
      <c r="B5" s="81">
        <v>0.71699999999999997</v>
      </c>
      <c r="C5" s="82">
        <v>0.45100000000000001</v>
      </c>
      <c r="D5" s="81">
        <v>0.76900000000000002</v>
      </c>
      <c r="E5" s="82">
        <v>0.42199999999999999</v>
      </c>
      <c r="F5" s="81">
        <v>0.747</v>
      </c>
      <c r="G5" s="82">
        <v>0.435</v>
      </c>
      <c r="H5" s="82">
        <v>0.14699999999999999</v>
      </c>
      <c r="I5" s="95" t="str">
        <f t="shared" ref="I5:I29" si="0"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0.53100000000000003</v>
      </c>
      <c r="C6" s="82">
        <v>0.5</v>
      </c>
      <c r="D6" s="81">
        <v>0.46600000000000003</v>
      </c>
      <c r="E6" s="82">
        <v>0.5</v>
      </c>
      <c r="F6" s="81">
        <v>0.49399999999999999</v>
      </c>
      <c r="G6" s="82">
        <v>0.5</v>
      </c>
      <c r="H6" s="82">
        <v>0.11799999999999999</v>
      </c>
      <c r="I6" s="95" t="str">
        <f t="shared" si="0"/>
        <v/>
      </c>
    </row>
    <row r="7" spans="1:9" x14ac:dyDescent="0.2">
      <c r="A7" s="96" t="s">
        <v>9</v>
      </c>
      <c r="B7" s="81">
        <v>0.9</v>
      </c>
      <c r="C7" s="82">
        <v>0.3</v>
      </c>
      <c r="D7" s="81">
        <v>0.92900000000000005</v>
      </c>
      <c r="E7" s="82">
        <v>0.25800000000000001</v>
      </c>
      <c r="F7" s="81">
        <v>0.91600000000000004</v>
      </c>
      <c r="G7" s="82">
        <v>0.27700000000000002</v>
      </c>
      <c r="H7" s="82">
        <v>0.23400000000000001</v>
      </c>
      <c r="I7" s="95" t="str">
        <f t="shared" si="0"/>
        <v/>
      </c>
    </row>
    <row r="8" spans="1:9" x14ac:dyDescent="0.2">
      <c r="A8" s="96" t="s">
        <v>10</v>
      </c>
      <c r="B8" s="81">
        <v>4.1000000000000002E-2</v>
      </c>
      <c r="C8" s="82">
        <v>0.19800000000000001</v>
      </c>
      <c r="D8" s="81">
        <v>2.8000000000000001E-2</v>
      </c>
      <c r="E8" s="82">
        <v>0.16600000000000001</v>
      </c>
      <c r="F8" s="81">
        <v>3.4000000000000002E-2</v>
      </c>
      <c r="G8" s="82">
        <v>0.18099999999999999</v>
      </c>
      <c r="H8" s="82">
        <v>0.4</v>
      </c>
      <c r="I8" s="95" t="str">
        <f t="shared" si="0"/>
        <v/>
      </c>
    </row>
    <row r="9" spans="1:9" x14ac:dyDescent="0.2">
      <c r="A9" s="96" t="s">
        <v>11</v>
      </c>
      <c r="B9" s="81">
        <v>0.89600000000000002</v>
      </c>
      <c r="C9" s="82">
        <v>0.30599999999999999</v>
      </c>
      <c r="D9" s="81">
        <v>0.88900000000000001</v>
      </c>
      <c r="E9" s="82">
        <v>0.315</v>
      </c>
      <c r="F9" s="81">
        <v>0.89200000000000002</v>
      </c>
      <c r="G9" s="82">
        <v>0.311</v>
      </c>
      <c r="H9" s="82">
        <v>0.79</v>
      </c>
      <c r="I9" s="95" t="str">
        <f t="shared" si="0"/>
        <v/>
      </c>
    </row>
    <row r="10" spans="1:9" x14ac:dyDescent="0.2">
      <c r="A10" s="97" t="s">
        <v>12</v>
      </c>
      <c r="B10" s="83">
        <v>0.66200000000000003</v>
      </c>
      <c r="C10" s="84">
        <v>0.47399999999999998</v>
      </c>
      <c r="D10" s="83">
        <v>0.59199999999999997</v>
      </c>
      <c r="E10" s="84">
        <v>0.49199999999999999</v>
      </c>
      <c r="F10" s="83">
        <v>0.622</v>
      </c>
      <c r="G10" s="84">
        <v>0.48499999999999999</v>
      </c>
      <c r="H10" s="84">
        <v>8.3000000000000004E-2</v>
      </c>
      <c r="I10" s="95" t="str">
        <f t="shared" si="0"/>
        <v>*</v>
      </c>
    </row>
    <row r="11" spans="1:9" x14ac:dyDescent="0.2">
      <c r="A11" s="97" t="s">
        <v>13</v>
      </c>
      <c r="B11" s="83">
        <v>0.85299999999999998</v>
      </c>
      <c r="C11" s="84">
        <v>0.35499999999999998</v>
      </c>
      <c r="D11" s="83">
        <v>0.92300000000000004</v>
      </c>
      <c r="E11" s="84">
        <v>0.26800000000000002</v>
      </c>
      <c r="F11" s="83">
        <v>0.89200000000000002</v>
      </c>
      <c r="G11" s="84">
        <v>0.31</v>
      </c>
      <c r="H11" s="84">
        <v>6.0000000000000001E-3</v>
      </c>
      <c r="I11" s="95" t="str">
        <f t="shared" si="0"/>
        <v>***</v>
      </c>
    </row>
    <row r="12" spans="1:9" x14ac:dyDescent="0.2">
      <c r="A12" s="96" t="s">
        <v>14</v>
      </c>
      <c r="B12" s="81">
        <v>0.79200000000000004</v>
      </c>
      <c r="C12" s="82">
        <v>0.40699999999999997</v>
      </c>
      <c r="D12" s="81">
        <v>0.82099999999999995</v>
      </c>
      <c r="E12" s="82">
        <v>0.38400000000000001</v>
      </c>
      <c r="F12" s="81">
        <v>0.80800000000000005</v>
      </c>
      <c r="G12" s="82">
        <v>0.39400000000000002</v>
      </c>
      <c r="H12" s="82">
        <v>0.36199999999999999</v>
      </c>
      <c r="I12" s="95" t="str">
        <f t="shared" si="0"/>
        <v/>
      </c>
    </row>
    <row r="13" spans="1:9" x14ac:dyDescent="0.2">
      <c r="A13" s="96" t="s">
        <v>15</v>
      </c>
      <c r="B13" s="81">
        <v>6.7000000000000004E-2</v>
      </c>
      <c r="C13" s="82">
        <v>0.251</v>
      </c>
      <c r="D13" s="81">
        <v>7.9000000000000001E-2</v>
      </c>
      <c r="E13" s="82">
        <v>0.27100000000000002</v>
      </c>
      <c r="F13" s="81">
        <v>7.3999999999999996E-2</v>
      </c>
      <c r="G13" s="82">
        <v>0.26200000000000001</v>
      </c>
      <c r="H13" s="82">
        <v>0.56699999999999995</v>
      </c>
      <c r="I13" s="95" t="str">
        <f t="shared" si="0"/>
        <v/>
      </c>
    </row>
    <row r="14" spans="1:9" x14ac:dyDescent="0.2">
      <c r="A14" s="97" t="s">
        <v>16</v>
      </c>
      <c r="B14" s="83">
        <v>0.83499999999999996</v>
      </c>
      <c r="C14" s="84">
        <v>0.372</v>
      </c>
      <c r="D14" s="83">
        <v>0.90100000000000002</v>
      </c>
      <c r="E14" s="84">
        <v>0.29899999999999999</v>
      </c>
      <c r="F14" s="83">
        <v>0.872</v>
      </c>
      <c r="G14" s="84">
        <v>0.33400000000000002</v>
      </c>
      <c r="H14" s="84">
        <v>1.7999999999999999E-2</v>
      </c>
      <c r="I14" s="95" t="str">
        <f t="shared" si="0"/>
        <v>**</v>
      </c>
    </row>
    <row r="15" spans="1:9" x14ac:dyDescent="0.2">
      <c r="A15" s="97" t="s">
        <v>17</v>
      </c>
      <c r="B15" s="83">
        <v>0.625</v>
      </c>
      <c r="C15" s="84">
        <v>0.48499999999999999</v>
      </c>
      <c r="D15" s="83">
        <v>0.69099999999999995</v>
      </c>
      <c r="E15" s="84">
        <v>0.46300000000000002</v>
      </c>
      <c r="F15" s="83">
        <v>0.66300000000000003</v>
      </c>
      <c r="G15" s="84">
        <v>0.47299999999999998</v>
      </c>
      <c r="H15" s="84">
        <v>9.1999999999999998E-2</v>
      </c>
      <c r="I15" s="95" t="str">
        <f t="shared" si="0"/>
        <v>*</v>
      </c>
    </row>
    <row r="16" spans="1:9" x14ac:dyDescent="0.2">
      <c r="A16" s="96" t="s">
        <v>18</v>
      </c>
      <c r="B16" s="81">
        <v>0.93300000000000005</v>
      </c>
      <c r="C16" s="82">
        <v>0.25</v>
      </c>
      <c r="D16" s="81">
        <v>0.96</v>
      </c>
      <c r="E16" s="82">
        <v>0.19500000000000001</v>
      </c>
      <c r="F16" s="81">
        <v>0.94899999999999995</v>
      </c>
      <c r="G16" s="82">
        <v>0.221</v>
      </c>
      <c r="H16" s="82">
        <v>0.13800000000000001</v>
      </c>
      <c r="I16" s="95" t="str">
        <f t="shared" si="0"/>
        <v/>
      </c>
    </row>
    <row r="17" spans="1:9" x14ac:dyDescent="0.2">
      <c r="A17" s="96" t="s">
        <v>19</v>
      </c>
      <c r="B17" s="81">
        <v>0.80400000000000005</v>
      </c>
      <c r="C17" s="82">
        <v>0.39800000000000002</v>
      </c>
      <c r="D17" s="81">
        <v>0.79500000000000004</v>
      </c>
      <c r="E17" s="82">
        <v>0.40400000000000003</v>
      </c>
      <c r="F17" s="81">
        <v>0.79900000000000004</v>
      </c>
      <c r="G17" s="82">
        <v>0.40100000000000002</v>
      </c>
      <c r="H17" s="82">
        <v>0.78600000000000003</v>
      </c>
      <c r="I17" s="95" t="str">
        <f t="shared" si="0"/>
        <v/>
      </c>
    </row>
    <row r="18" spans="1:9" x14ac:dyDescent="0.2">
      <c r="A18" s="96" t="s">
        <v>20</v>
      </c>
      <c r="B18" s="81">
        <v>0.41499999999999998</v>
      </c>
      <c r="C18" s="82">
        <v>0.49399999999999999</v>
      </c>
      <c r="D18" s="81">
        <v>0.42799999999999999</v>
      </c>
      <c r="E18" s="82">
        <v>0.495</v>
      </c>
      <c r="F18" s="81">
        <v>0.42199999999999999</v>
      </c>
      <c r="G18" s="82">
        <v>0.49399999999999999</v>
      </c>
      <c r="H18" s="82">
        <v>0.75800000000000001</v>
      </c>
      <c r="I18" s="95" t="str">
        <f t="shared" si="0"/>
        <v/>
      </c>
    </row>
    <row r="19" spans="1:9" x14ac:dyDescent="0.2">
      <c r="A19" s="96" t="s">
        <v>22</v>
      </c>
      <c r="B19" s="81">
        <v>0.82699999999999996</v>
      </c>
      <c r="C19" s="82">
        <v>0.379</v>
      </c>
      <c r="D19" s="81">
        <v>0.81</v>
      </c>
      <c r="E19" s="82">
        <v>0.39300000000000002</v>
      </c>
      <c r="F19" s="81">
        <v>0.81799999999999995</v>
      </c>
      <c r="G19" s="82">
        <v>0.38600000000000001</v>
      </c>
      <c r="H19" s="82">
        <v>0.58599999999999997</v>
      </c>
      <c r="I19" s="95" t="str">
        <f t="shared" si="0"/>
        <v/>
      </c>
    </row>
    <row r="20" spans="1:9" x14ac:dyDescent="0.2">
      <c r="A20" s="96" t="s">
        <v>23</v>
      </c>
      <c r="B20" s="81">
        <v>0.246</v>
      </c>
      <c r="C20" s="82">
        <v>0.432</v>
      </c>
      <c r="D20" s="81">
        <v>0.23599999999999999</v>
      </c>
      <c r="E20" s="82">
        <v>0.42499999999999999</v>
      </c>
      <c r="F20" s="81">
        <v>0.24</v>
      </c>
      <c r="G20" s="82">
        <v>0.42799999999999999</v>
      </c>
      <c r="H20" s="82">
        <v>0.76400000000000001</v>
      </c>
      <c r="I20" s="95" t="str">
        <f t="shared" si="0"/>
        <v/>
      </c>
    </row>
    <row r="21" spans="1:9" x14ac:dyDescent="0.2">
      <c r="A21" s="96" t="s">
        <v>24</v>
      </c>
      <c r="B21" s="81">
        <v>0.27400000000000002</v>
      </c>
      <c r="C21" s="82">
        <v>0.44700000000000001</v>
      </c>
      <c r="D21" s="81">
        <v>0.27900000000000003</v>
      </c>
      <c r="E21" s="82">
        <v>0.44900000000000001</v>
      </c>
      <c r="F21" s="81">
        <v>0.27700000000000002</v>
      </c>
      <c r="G21" s="82">
        <v>0.44800000000000001</v>
      </c>
      <c r="H21" s="82">
        <v>0.90100000000000002</v>
      </c>
      <c r="I21" s="95" t="str">
        <f t="shared" si="0"/>
        <v/>
      </c>
    </row>
    <row r="22" spans="1:9" x14ac:dyDescent="0.2">
      <c r="A22" s="97" t="s">
        <v>25</v>
      </c>
      <c r="B22" s="83">
        <v>0.49099999999999999</v>
      </c>
      <c r="C22" s="84">
        <v>0.501</v>
      </c>
      <c r="D22" s="83">
        <v>0.39200000000000002</v>
      </c>
      <c r="E22" s="84">
        <v>0.48899999999999999</v>
      </c>
      <c r="F22" s="83">
        <v>0.435</v>
      </c>
      <c r="G22" s="84">
        <v>0.496</v>
      </c>
      <c r="H22" s="84">
        <v>1.4E-2</v>
      </c>
      <c r="I22" s="95" t="str">
        <f t="shared" si="0"/>
        <v>**</v>
      </c>
    </row>
    <row r="23" spans="1:9" x14ac:dyDescent="0.2">
      <c r="A23" s="96" t="s">
        <v>26</v>
      </c>
      <c r="B23" s="81">
        <v>0.27800000000000002</v>
      </c>
      <c r="C23" s="82">
        <v>0.44900000000000001</v>
      </c>
      <c r="D23" s="81">
        <v>0.21099999999999999</v>
      </c>
      <c r="E23" s="82">
        <v>0.40899999999999997</v>
      </c>
      <c r="F23" s="81">
        <v>0.24199999999999999</v>
      </c>
      <c r="G23" s="82">
        <v>0.42899999999999999</v>
      </c>
      <c r="H23" s="82">
        <v>0.106</v>
      </c>
      <c r="I23" s="95" t="str">
        <f t="shared" si="0"/>
        <v/>
      </c>
    </row>
    <row r="24" spans="1:9" x14ac:dyDescent="0.2">
      <c r="A24" s="96" t="s">
        <v>28</v>
      </c>
      <c r="B24" s="81">
        <v>0.107</v>
      </c>
      <c r="C24" s="82">
        <v>0.309</v>
      </c>
      <c r="D24" s="81">
        <v>0.13200000000000001</v>
      </c>
      <c r="E24" s="82">
        <v>0.33900000000000002</v>
      </c>
      <c r="F24" s="81">
        <v>0.121</v>
      </c>
      <c r="G24" s="82">
        <v>0.32600000000000001</v>
      </c>
      <c r="H24" s="82">
        <v>0.34</v>
      </c>
      <c r="I24" s="95" t="str">
        <f t="shared" si="0"/>
        <v/>
      </c>
    </row>
    <row r="25" spans="1:9" x14ac:dyDescent="0.2">
      <c r="A25" s="96" t="s">
        <v>29</v>
      </c>
      <c r="B25" s="81">
        <v>0.876</v>
      </c>
      <c r="C25" s="82">
        <v>0.33</v>
      </c>
      <c r="D25" s="81">
        <v>0.91</v>
      </c>
      <c r="E25" s="82">
        <v>0.28599999999999998</v>
      </c>
      <c r="F25" s="81">
        <v>0.89500000000000002</v>
      </c>
      <c r="G25" s="82">
        <v>0.307</v>
      </c>
      <c r="H25" s="82">
        <v>0.19400000000000001</v>
      </c>
      <c r="I25" s="95" t="str">
        <f t="shared" si="0"/>
        <v/>
      </c>
    </row>
    <row r="26" spans="1:9" x14ac:dyDescent="0.2">
      <c r="A26" s="97" t="s">
        <v>30</v>
      </c>
      <c r="B26" s="83">
        <v>0.83599999999999997</v>
      </c>
      <c r="C26" s="84">
        <v>0.371</v>
      </c>
      <c r="D26" s="83">
        <v>0.76</v>
      </c>
      <c r="E26" s="84">
        <v>0.42699999999999999</v>
      </c>
      <c r="F26" s="83">
        <v>0.79400000000000004</v>
      </c>
      <c r="G26" s="84">
        <v>0.40500000000000003</v>
      </c>
      <c r="H26" s="84">
        <v>2.3E-2</v>
      </c>
      <c r="I26" s="95" t="str">
        <f t="shared" si="0"/>
        <v>**</v>
      </c>
    </row>
    <row r="27" spans="1:9" x14ac:dyDescent="0.2">
      <c r="A27" s="96" t="s">
        <v>31</v>
      </c>
      <c r="B27" s="81">
        <v>0.248</v>
      </c>
      <c r="C27" s="82">
        <v>0.433</v>
      </c>
      <c r="D27" s="81">
        <v>0.23699999999999999</v>
      </c>
      <c r="E27" s="82">
        <v>0.42599999999999999</v>
      </c>
      <c r="F27" s="81">
        <v>0.24199999999999999</v>
      </c>
      <c r="G27" s="82">
        <v>0.42899999999999999</v>
      </c>
      <c r="H27" s="82">
        <v>0.754</v>
      </c>
      <c r="I27" s="95" t="str">
        <f t="shared" si="0"/>
        <v/>
      </c>
    </row>
    <row r="28" spans="1:9" x14ac:dyDescent="0.2">
      <c r="A28" s="96" t="s">
        <v>32</v>
      </c>
      <c r="B28" s="81">
        <v>0.13300000000000001</v>
      </c>
      <c r="C28" s="82">
        <v>0.34100000000000003</v>
      </c>
      <c r="D28" s="81">
        <v>0.14299999999999999</v>
      </c>
      <c r="E28" s="82">
        <v>0.35</v>
      </c>
      <c r="F28" s="81">
        <v>0.13900000000000001</v>
      </c>
      <c r="G28" s="82">
        <v>0.34599999999999997</v>
      </c>
      <c r="H28" s="82">
        <v>0.73299999999999998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0.14899999999999999</v>
      </c>
      <c r="C29" s="100">
        <v>0.35599999999999998</v>
      </c>
      <c r="D29" s="99">
        <v>0.16600000000000001</v>
      </c>
      <c r="E29" s="100">
        <v>0.372</v>
      </c>
      <c r="F29" s="99">
        <v>0.158</v>
      </c>
      <c r="G29" s="100">
        <v>0.36499999999999999</v>
      </c>
      <c r="H29" s="100">
        <v>0.56599999999999995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73F6-2B01-2C47-89F9-A802237B8DF3}">
  <dimension ref="A1:I29"/>
  <sheetViews>
    <sheetView workbookViewId="0">
      <selection activeCell="I3" sqref="A2:I3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46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124</v>
      </c>
      <c r="C4" s="80">
        <v>0.46268999999999999</v>
      </c>
      <c r="D4" s="79">
        <v>144</v>
      </c>
      <c r="E4" s="80">
        <v>0.53730999999999995</v>
      </c>
      <c r="F4" s="79">
        <v>268</v>
      </c>
      <c r="G4" s="80">
        <v>1</v>
      </c>
      <c r="H4" s="77"/>
      <c r="I4" s="95"/>
    </row>
    <row r="5" spans="1:9" x14ac:dyDescent="0.2">
      <c r="A5" s="96" t="s">
        <v>7</v>
      </c>
      <c r="B5" s="81">
        <v>0.74</v>
      </c>
      <c r="C5" s="82">
        <v>0.441</v>
      </c>
      <c r="D5" s="81">
        <v>0.75600000000000001</v>
      </c>
      <c r="E5" s="82">
        <v>0.43099999999999999</v>
      </c>
      <c r="F5" s="81">
        <v>0.748</v>
      </c>
      <c r="G5" s="82">
        <v>0.435</v>
      </c>
      <c r="H5" s="82">
        <v>0.77300000000000002</v>
      </c>
      <c r="I5" s="95" t="str">
        <f t="shared" ref="I5:I29" si="0"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0.9</v>
      </c>
      <c r="C6" s="82">
        <v>0.30099999999999999</v>
      </c>
      <c r="D6" s="81">
        <v>0.88400000000000001</v>
      </c>
      <c r="E6" s="82">
        <v>0.32100000000000001</v>
      </c>
      <c r="F6" s="81">
        <v>0.89100000000000001</v>
      </c>
      <c r="G6" s="82">
        <v>0.312</v>
      </c>
      <c r="H6" s="82">
        <v>0.68300000000000005</v>
      </c>
      <c r="I6" s="95" t="str">
        <f t="shared" si="0"/>
        <v/>
      </c>
    </row>
    <row r="7" spans="1:9" x14ac:dyDescent="0.2">
      <c r="A7" s="96" t="s">
        <v>9</v>
      </c>
      <c r="B7" s="81">
        <v>0.97499999999999998</v>
      </c>
      <c r="C7" s="82">
        <v>0.157</v>
      </c>
      <c r="D7" s="81">
        <v>0.98599999999999999</v>
      </c>
      <c r="E7" s="82">
        <v>0.12</v>
      </c>
      <c r="F7" s="81">
        <v>0.98099999999999998</v>
      </c>
      <c r="G7" s="82">
        <v>0.13800000000000001</v>
      </c>
      <c r="H7" s="82">
        <v>0.53700000000000003</v>
      </c>
      <c r="I7" s="95" t="str">
        <f t="shared" si="0"/>
        <v/>
      </c>
    </row>
    <row r="8" spans="1:9" x14ac:dyDescent="0.2">
      <c r="A8" s="96" t="s">
        <v>10</v>
      </c>
      <c r="B8" s="81">
        <v>0.153</v>
      </c>
      <c r="C8" s="82">
        <v>0.36199999999999999</v>
      </c>
      <c r="D8" s="81">
        <v>0.125</v>
      </c>
      <c r="E8" s="82">
        <v>0.33200000000000002</v>
      </c>
      <c r="F8" s="81">
        <v>0.13800000000000001</v>
      </c>
      <c r="G8" s="82">
        <v>0.34599999999999997</v>
      </c>
      <c r="H8" s="82">
        <v>0.50600000000000001</v>
      </c>
      <c r="I8" s="95" t="str">
        <f t="shared" si="0"/>
        <v/>
      </c>
    </row>
    <row r="9" spans="1:9" x14ac:dyDescent="0.2">
      <c r="A9" s="96" t="s">
        <v>11</v>
      </c>
      <c r="B9" s="81">
        <v>0.94199999999999995</v>
      </c>
      <c r="C9" s="82">
        <v>0.23499999999999999</v>
      </c>
      <c r="D9" s="81">
        <v>0.91200000000000003</v>
      </c>
      <c r="E9" s="82">
        <v>0.28399999999999997</v>
      </c>
      <c r="F9" s="81">
        <v>0.92600000000000005</v>
      </c>
      <c r="G9" s="82">
        <v>0.26200000000000001</v>
      </c>
      <c r="H9" s="82">
        <v>0.373</v>
      </c>
      <c r="I9" s="95" t="str">
        <f t="shared" si="0"/>
        <v/>
      </c>
    </row>
    <row r="10" spans="1:9" x14ac:dyDescent="0.2">
      <c r="A10" s="97" t="s">
        <v>12</v>
      </c>
      <c r="B10" s="83">
        <v>0.74399999999999999</v>
      </c>
      <c r="C10" s="84">
        <v>0.438</v>
      </c>
      <c r="D10" s="83">
        <v>0.63500000000000001</v>
      </c>
      <c r="E10" s="84">
        <v>0.48299999999999998</v>
      </c>
      <c r="F10" s="83">
        <v>0.68600000000000005</v>
      </c>
      <c r="G10" s="84">
        <v>0.46500000000000002</v>
      </c>
      <c r="H10" s="84">
        <v>6.0999999999999999E-2</v>
      </c>
      <c r="I10" s="95" t="str">
        <f t="shared" si="0"/>
        <v>*</v>
      </c>
    </row>
    <row r="11" spans="1:9" x14ac:dyDescent="0.2">
      <c r="A11" s="96" t="s">
        <v>13</v>
      </c>
      <c r="B11" s="81">
        <v>0.91300000000000003</v>
      </c>
      <c r="C11" s="82">
        <v>0.28299999999999997</v>
      </c>
      <c r="D11" s="81">
        <v>0.876</v>
      </c>
      <c r="E11" s="82">
        <v>0.33100000000000002</v>
      </c>
      <c r="F11" s="81">
        <v>0.89300000000000002</v>
      </c>
      <c r="G11" s="82">
        <v>0.31</v>
      </c>
      <c r="H11" s="82">
        <v>0.34399999999999997</v>
      </c>
      <c r="I11" s="95" t="str">
        <f t="shared" si="0"/>
        <v/>
      </c>
    </row>
    <row r="12" spans="1:9" x14ac:dyDescent="0.2">
      <c r="A12" s="96" t="s">
        <v>14</v>
      </c>
      <c r="B12" s="81">
        <v>0.83699999999999997</v>
      </c>
      <c r="C12" s="82">
        <v>0.371</v>
      </c>
      <c r="D12" s="81">
        <v>0.85099999999999998</v>
      </c>
      <c r="E12" s="82">
        <v>0.35799999999999998</v>
      </c>
      <c r="F12" s="81">
        <v>0.84399999999999997</v>
      </c>
      <c r="G12" s="82">
        <v>0.36299999999999999</v>
      </c>
      <c r="H12" s="82">
        <v>0.76900000000000002</v>
      </c>
      <c r="I12" s="95" t="str">
        <f t="shared" si="0"/>
        <v/>
      </c>
    </row>
    <row r="13" spans="1:9" x14ac:dyDescent="0.2">
      <c r="A13" s="96" t="s">
        <v>15</v>
      </c>
      <c r="B13" s="81">
        <v>0.14499999999999999</v>
      </c>
      <c r="C13" s="82">
        <v>0.35399999999999998</v>
      </c>
      <c r="D13" s="81">
        <v>0.13200000000000001</v>
      </c>
      <c r="E13" s="82">
        <v>0.34</v>
      </c>
      <c r="F13" s="81">
        <v>0.13800000000000001</v>
      </c>
      <c r="G13" s="82">
        <v>0.34599999999999997</v>
      </c>
      <c r="H13" s="82">
        <v>0.75600000000000001</v>
      </c>
      <c r="I13" s="95" t="str">
        <f t="shared" si="0"/>
        <v/>
      </c>
    </row>
    <row r="14" spans="1:9" x14ac:dyDescent="0.2">
      <c r="A14" s="96" t="s">
        <v>16</v>
      </c>
      <c r="B14" s="81">
        <v>0.89700000000000002</v>
      </c>
      <c r="C14" s="82">
        <v>0.30599999999999999</v>
      </c>
      <c r="D14" s="81">
        <v>0.92600000000000005</v>
      </c>
      <c r="E14" s="82">
        <v>0.26300000000000001</v>
      </c>
      <c r="F14" s="81">
        <v>0.91200000000000003</v>
      </c>
      <c r="G14" s="82">
        <v>0.28299999999999997</v>
      </c>
      <c r="H14" s="82">
        <v>0.41399999999999998</v>
      </c>
      <c r="I14" s="95" t="str">
        <f t="shared" si="0"/>
        <v/>
      </c>
    </row>
    <row r="15" spans="1:9" x14ac:dyDescent="0.2">
      <c r="A15" s="96" t="s">
        <v>17</v>
      </c>
      <c r="B15" s="81">
        <v>0.78200000000000003</v>
      </c>
      <c r="C15" s="82">
        <v>0.41499999999999998</v>
      </c>
      <c r="D15" s="81">
        <v>0.74299999999999999</v>
      </c>
      <c r="E15" s="82">
        <v>0.439</v>
      </c>
      <c r="F15" s="81">
        <v>0.76100000000000001</v>
      </c>
      <c r="G15" s="82">
        <v>0.42699999999999999</v>
      </c>
      <c r="H15" s="82">
        <v>0.47</v>
      </c>
      <c r="I15" s="95" t="str">
        <f t="shared" si="0"/>
        <v/>
      </c>
    </row>
    <row r="16" spans="1:9" x14ac:dyDescent="0.2">
      <c r="A16" s="96" t="s">
        <v>18</v>
      </c>
      <c r="B16" s="81">
        <v>0.93</v>
      </c>
      <c r="C16" s="82">
        <v>0.25700000000000001</v>
      </c>
      <c r="D16" s="81">
        <v>0.94899999999999995</v>
      </c>
      <c r="E16" s="82">
        <v>0.222</v>
      </c>
      <c r="F16" s="81">
        <v>0.94</v>
      </c>
      <c r="G16" s="82">
        <v>0.23799999999999999</v>
      </c>
      <c r="H16" s="82">
        <v>0.53700000000000003</v>
      </c>
      <c r="I16" s="95" t="str">
        <f t="shared" si="0"/>
        <v/>
      </c>
    </row>
    <row r="17" spans="1:9" x14ac:dyDescent="0.2">
      <c r="A17" s="96" t="s">
        <v>19</v>
      </c>
      <c r="B17" s="81">
        <v>0.89500000000000002</v>
      </c>
      <c r="C17" s="82">
        <v>0.308</v>
      </c>
      <c r="D17" s="81">
        <v>0.84699999999999998</v>
      </c>
      <c r="E17" s="82">
        <v>0.36099999999999999</v>
      </c>
      <c r="F17" s="81">
        <v>0.86899999999999999</v>
      </c>
      <c r="G17" s="82">
        <v>0.33800000000000002</v>
      </c>
      <c r="H17" s="82">
        <v>0.247</v>
      </c>
      <c r="I17" s="95" t="str">
        <f t="shared" si="0"/>
        <v/>
      </c>
    </row>
    <row r="18" spans="1:9" x14ac:dyDescent="0.2">
      <c r="A18" s="96" t="s">
        <v>20</v>
      </c>
      <c r="B18" s="81">
        <v>0.55600000000000005</v>
      </c>
      <c r="C18" s="82">
        <v>0.499</v>
      </c>
      <c r="D18" s="81">
        <v>0.54200000000000004</v>
      </c>
      <c r="E18" s="82">
        <v>0.5</v>
      </c>
      <c r="F18" s="81">
        <v>0.54900000000000004</v>
      </c>
      <c r="G18" s="82">
        <v>0.499</v>
      </c>
      <c r="H18" s="82">
        <v>0.80900000000000005</v>
      </c>
      <c r="I18" s="95" t="str">
        <f t="shared" si="0"/>
        <v/>
      </c>
    </row>
    <row r="19" spans="1:9" x14ac:dyDescent="0.2">
      <c r="A19" s="96" t="s">
        <v>22</v>
      </c>
      <c r="B19" s="81">
        <v>0.81499999999999995</v>
      </c>
      <c r="C19" s="82">
        <v>0.39</v>
      </c>
      <c r="D19" s="81">
        <v>0.78500000000000003</v>
      </c>
      <c r="E19" s="82">
        <v>0.41199999999999998</v>
      </c>
      <c r="F19" s="81">
        <v>0.79900000000000004</v>
      </c>
      <c r="G19" s="82">
        <v>0.40200000000000002</v>
      </c>
      <c r="H19" s="82">
        <v>0.54600000000000004</v>
      </c>
      <c r="I19" s="95" t="str">
        <f t="shared" si="0"/>
        <v/>
      </c>
    </row>
    <row r="20" spans="1:9" x14ac:dyDescent="0.2">
      <c r="A20" s="96" t="s">
        <v>23</v>
      </c>
      <c r="B20" s="81">
        <v>0.38700000000000001</v>
      </c>
      <c r="C20" s="82">
        <v>0.48899999999999999</v>
      </c>
      <c r="D20" s="81">
        <v>0.41</v>
      </c>
      <c r="E20" s="82">
        <v>0.49299999999999999</v>
      </c>
      <c r="F20" s="81">
        <v>0.39900000000000002</v>
      </c>
      <c r="G20" s="82">
        <v>0.49099999999999999</v>
      </c>
      <c r="H20" s="82">
        <v>0.70699999999999996</v>
      </c>
      <c r="I20" s="95" t="str">
        <f t="shared" si="0"/>
        <v/>
      </c>
    </row>
    <row r="21" spans="1:9" x14ac:dyDescent="0.2">
      <c r="A21" s="96" t="s">
        <v>24</v>
      </c>
      <c r="B21" s="81">
        <v>0.38200000000000001</v>
      </c>
      <c r="C21" s="82">
        <v>0.48799999999999999</v>
      </c>
      <c r="D21" s="81">
        <v>0.40600000000000003</v>
      </c>
      <c r="E21" s="82">
        <v>0.49299999999999999</v>
      </c>
      <c r="F21" s="81">
        <v>0.39500000000000002</v>
      </c>
      <c r="G21" s="82">
        <v>0.49</v>
      </c>
      <c r="H21" s="82">
        <v>0.69699999999999995</v>
      </c>
      <c r="I21" s="95" t="str">
        <f t="shared" si="0"/>
        <v/>
      </c>
    </row>
    <row r="22" spans="1:9" x14ac:dyDescent="0.2">
      <c r="A22" s="96" t="s">
        <v>25</v>
      </c>
      <c r="B22" s="81">
        <v>0.26600000000000001</v>
      </c>
      <c r="C22" s="82">
        <v>0.44400000000000001</v>
      </c>
      <c r="D22" s="81">
        <v>0.23699999999999999</v>
      </c>
      <c r="E22" s="82">
        <v>0.42699999999999999</v>
      </c>
      <c r="F22" s="81">
        <v>0.251</v>
      </c>
      <c r="G22" s="82">
        <v>0.434</v>
      </c>
      <c r="H22" s="82">
        <v>0.59299999999999997</v>
      </c>
      <c r="I22" s="95" t="str">
        <f t="shared" si="0"/>
        <v/>
      </c>
    </row>
    <row r="23" spans="1:9" x14ac:dyDescent="0.2">
      <c r="A23" s="96" t="s">
        <v>26</v>
      </c>
      <c r="B23" s="81" t="s">
        <v>27</v>
      </c>
      <c r="C23" s="82" t="s">
        <v>27</v>
      </c>
      <c r="D23" s="81" t="s">
        <v>27</v>
      </c>
      <c r="E23" s="82"/>
      <c r="F23" s="81" t="s">
        <v>27</v>
      </c>
      <c r="G23" s="82" t="s">
        <v>27</v>
      </c>
      <c r="H23" s="85" t="s">
        <v>27</v>
      </c>
      <c r="I23" s="95"/>
    </row>
    <row r="24" spans="1:9" x14ac:dyDescent="0.2">
      <c r="A24" s="96" t="s">
        <v>28</v>
      </c>
      <c r="B24" s="81">
        <v>0.47899999999999998</v>
      </c>
      <c r="C24" s="82">
        <v>0.502</v>
      </c>
      <c r="D24" s="81">
        <v>0.46700000000000003</v>
      </c>
      <c r="E24" s="82">
        <v>0.501</v>
      </c>
      <c r="F24" s="81">
        <v>0.47199999999999998</v>
      </c>
      <c r="G24" s="82">
        <v>0.5</v>
      </c>
      <c r="H24" s="82">
        <v>0.85599999999999998</v>
      </c>
      <c r="I24" s="95" t="str">
        <f t="shared" si="0"/>
        <v/>
      </c>
    </row>
    <row r="25" spans="1:9" x14ac:dyDescent="0.2">
      <c r="A25" s="96" t="s">
        <v>29</v>
      </c>
      <c r="B25" s="81">
        <v>0.86499999999999999</v>
      </c>
      <c r="C25" s="82">
        <v>0.34300000000000003</v>
      </c>
      <c r="D25" s="81">
        <v>0.89400000000000002</v>
      </c>
      <c r="E25" s="82">
        <v>0.309</v>
      </c>
      <c r="F25" s="81">
        <v>0.88100000000000001</v>
      </c>
      <c r="G25" s="82">
        <v>0.32500000000000001</v>
      </c>
      <c r="H25" s="82">
        <v>0.48799999999999999</v>
      </c>
      <c r="I25" s="95" t="str">
        <f t="shared" si="0"/>
        <v/>
      </c>
    </row>
    <row r="26" spans="1:9" x14ac:dyDescent="0.2">
      <c r="A26" s="96" t="s">
        <v>30</v>
      </c>
      <c r="B26" s="81">
        <v>0.83799999999999997</v>
      </c>
      <c r="C26" s="82">
        <v>0.37</v>
      </c>
      <c r="D26" s="81">
        <v>0.88700000000000001</v>
      </c>
      <c r="E26" s="82">
        <v>0.318</v>
      </c>
      <c r="F26" s="81">
        <v>0.86399999999999999</v>
      </c>
      <c r="G26" s="82">
        <v>0.34300000000000003</v>
      </c>
      <c r="H26" s="82">
        <v>0.255</v>
      </c>
      <c r="I26" s="95" t="str">
        <f t="shared" si="0"/>
        <v/>
      </c>
    </row>
    <row r="27" spans="1:9" x14ac:dyDescent="0.2">
      <c r="A27" s="96" t="s">
        <v>31</v>
      </c>
      <c r="B27" s="81">
        <v>0.32200000000000001</v>
      </c>
      <c r="C27" s="82">
        <v>0.46899999999999997</v>
      </c>
      <c r="D27" s="81">
        <v>0.315</v>
      </c>
      <c r="E27" s="82">
        <v>0.46600000000000003</v>
      </c>
      <c r="F27" s="81">
        <v>0.318</v>
      </c>
      <c r="G27" s="82">
        <v>0.46700000000000003</v>
      </c>
      <c r="H27" s="82">
        <v>0.89500000000000002</v>
      </c>
      <c r="I27" s="95" t="str">
        <f t="shared" si="0"/>
        <v/>
      </c>
    </row>
    <row r="28" spans="1:9" x14ac:dyDescent="0.2">
      <c r="A28" s="96" t="s">
        <v>32</v>
      </c>
      <c r="B28" s="81">
        <v>0.17699999999999999</v>
      </c>
      <c r="C28" s="82">
        <v>0.38400000000000001</v>
      </c>
      <c r="D28" s="81">
        <v>0.156</v>
      </c>
      <c r="E28" s="82">
        <v>0.36399999999999999</v>
      </c>
      <c r="F28" s="81">
        <v>0.16600000000000001</v>
      </c>
      <c r="G28" s="82">
        <v>0.373</v>
      </c>
      <c r="H28" s="82">
        <v>0.64200000000000002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0.19700000000000001</v>
      </c>
      <c r="C29" s="100">
        <v>0.39900000000000002</v>
      </c>
      <c r="D29" s="99">
        <v>0.17499999999999999</v>
      </c>
      <c r="E29" s="100">
        <v>0.38100000000000001</v>
      </c>
      <c r="F29" s="99">
        <v>0.185</v>
      </c>
      <c r="G29" s="100">
        <v>0.38900000000000001</v>
      </c>
      <c r="H29" s="100">
        <v>0.64900000000000002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2290-B6FB-A14D-BDE0-457927A57F70}">
  <dimension ref="A1:I29"/>
  <sheetViews>
    <sheetView tabSelected="1" workbookViewId="0">
      <selection activeCell="A35" sqref="A35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43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351</v>
      </c>
      <c r="C4" s="80">
        <v>0.49091000000000001</v>
      </c>
      <c r="D4" s="79">
        <v>364</v>
      </c>
      <c r="E4" s="80">
        <v>0.50909000000000004</v>
      </c>
      <c r="F4" s="79">
        <v>715</v>
      </c>
      <c r="G4" s="80">
        <v>1</v>
      </c>
      <c r="H4" s="77"/>
      <c r="I4" s="95"/>
    </row>
    <row r="5" spans="1:9" x14ac:dyDescent="0.2">
      <c r="A5" s="97" t="s">
        <v>7</v>
      </c>
      <c r="B5" s="83">
        <v>0.67800000000000005</v>
      </c>
      <c r="C5" s="84">
        <v>0.46800000000000003</v>
      </c>
      <c r="D5" s="83">
        <v>0.81599999999999995</v>
      </c>
      <c r="E5" s="84">
        <v>0.38800000000000001</v>
      </c>
      <c r="F5" s="83">
        <v>0.748</v>
      </c>
      <c r="G5" s="84">
        <v>0.434</v>
      </c>
      <c r="H5" s="84" t="s">
        <v>5</v>
      </c>
      <c r="I5" s="95" t="s">
        <v>21</v>
      </c>
    </row>
    <row r="6" spans="1:9" x14ac:dyDescent="0.2">
      <c r="A6" s="96" t="s">
        <v>8</v>
      </c>
      <c r="B6" s="81">
        <v>0.67500000000000004</v>
      </c>
      <c r="C6" s="82">
        <v>0.46899999999999997</v>
      </c>
      <c r="D6" s="81">
        <v>0.71399999999999997</v>
      </c>
      <c r="E6" s="82">
        <v>0.45200000000000001</v>
      </c>
      <c r="F6" s="81">
        <v>0.69499999999999995</v>
      </c>
      <c r="G6" s="82">
        <v>0.46100000000000002</v>
      </c>
      <c r="H6" s="82">
        <v>0.25700000000000001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7" t="s">
        <v>9</v>
      </c>
      <c r="B7" s="83">
        <v>0.72599999999999998</v>
      </c>
      <c r="C7" s="84">
        <v>0.44600000000000001</v>
      </c>
      <c r="D7" s="83">
        <v>0.79900000000000004</v>
      </c>
      <c r="E7" s="84">
        <v>0.40100000000000002</v>
      </c>
      <c r="F7" s="83">
        <v>0.76400000000000001</v>
      </c>
      <c r="G7" s="84">
        <v>0.42499999999999999</v>
      </c>
      <c r="H7" s="84">
        <v>2.1999999999999999E-2</v>
      </c>
      <c r="I7" s="95" t="str">
        <f t="shared" si="0"/>
        <v>**</v>
      </c>
    </row>
    <row r="8" spans="1:9" x14ac:dyDescent="0.2">
      <c r="A8" s="96" t="s">
        <v>10</v>
      </c>
      <c r="B8" s="81">
        <v>0.251</v>
      </c>
      <c r="C8" s="82">
        <v>0.434</v>
      </c>
      <c r="D8" s="81">
        <v>0.28299999999999997</v>
      </c>
      <c r="E8" s="82">
        <v>0.45100000000000001</v>
      </c>
      <c r="F8" s="81">
        <v>0.26700000000000002</v>
      </c>
      <c r="G8" s="82">
        <v>0.443</v>
      </c>
      <c r="H8" s="82">
        <v>0.33100000000000002</v>
      </c>
      <c r="I8" s="95" t="str">
        <f t="shared" si="0"/>
        <v/>
      </c>
    </row>
    <row r="9" spans="1:9" x14ac:dyDescent="0.2">
      <c r="A9" s="97" t="s">
        <v>11</v>
      </c>
      <c r="B9" s="83">
        <v>0.72599999999999998</v>
      </c>
      <c r="C9" s="84">
        <v>0.44600000000000001</v>
      </c>
      <c r="D9" s="83">
        <v>0.66500000000000004</v>
      </c>
      <c r="E9" s="84">
        <v>0.47299999999999998</v>
      </c>
      <c r="F9" s="83">
        <v>0.69499999999999995</v>
      </c>
      <c r="G9" s="84">
        <v>0.46100000000000002</v>
      </c>
      <c r="H9" s="84">
        <v>7.3999999999999996E-2</v>
      </c>
      <c r="I9" s="95" t="str">
        <f t="shared" si="0"/>
        <v>*</v>
      </c>
    </row>
    <row r="10" spans="1:9" x14ac:dyDescent="0.2">
      <c r="A10" s="96" t="s">
        <v>12</v>
      </c>
      <c r="B10" s="81">
        <v>0.43</v>
      </c>
      <c r="C10" s="82">
        <v>0.496</v>
      </c>
      <c r="D10" s="81">
        <v>0.46200000000000002</v>
      </c>
      <c r="E10" s="82">
        <v>0.499</v>
      </c>
      <c r="F10" s="81">
        <v>0.44600000000000001</v>
      </c>
      <c r="G10" s="82">
        <v>0.497</v>
      </c>
      <c r="H10" s="82">
        <v>0.4</v>
      </c>
      <c r="I10" s="95" t="str">
        <f t="shared" si="0"/>
        <v/>
      </c>
    </row>
    <row r="11" spans="1:9" x14ac:dyDescent="0.2">
      <c r="A11" s="96" t="s">
        <v>13</v>
      </c>
      <c r="B11" s="81">
        <v>0.88</v>
      </c>
      <c r="C11" s="82">
        <v>0.32500000000000001</v>
      </c>
      <c r="D11" s="81">
        <v>0.91200000000000003</v>
      </c>
      <c r="E11" s="82">
        <v>0.28399999999999997</v>
      </c>
      <c r="F11" s="81">
        <v>0.89700000000000002</v>
      </c>
      <c r="G11" s="82">
        <v>0.30499999999999999</v>
      </c>
      <c r="H11" s="82">
        <v>0.16400000000000001</v>
      </c>
      <c r="I11" s="95" t="str">
        <f t="shared" si="0"/>
        <v/>
      </c>
    </row>
    <row r="12" spans="1:9" x14ac:dyDescent="0.2">
      <c r="A12" s="97" t="s">
        <v>14</v>
      </c>
      <c r="B12" s="83">
        <v>0.82099999999999995</v>
      </c>
      <c r="C12" s="84">
        <v>0.38400000000000001</v>
      </c>
      <c r="D12" s="83">
        <v>0.88700000000000001</v>
      </c>
      <c r="E12" s="84">
        <v>0.317</v>
      </c>
      <c r="F12" s="83">
        <v>0.85499999999999998</v>
      </c>
      <c r="G12" s="84">
        <v>0.35299999999999998</v>
      </c>
      <c r="H12" s="84">
        <v>1.0999999999999999E-2</v>
      </c>
      <c r="I12" s="95" t="str">
        <f t="shared" si="0"/>
        <v>**</v>
      </c>
    </row>
    <row r="13" spans="1:9" x14ac:dyDescent="0.2">
      <c r="A13" s="97" t="s">
        <v>15</v>
      </c>
      <c r="B13" s="83">
        <v>0.28799999999999998</v>
      </c>
      <c r="C13" s="84">
        <v>0.45300000000000001</v>
      </c>
      <c r="D13" s="83">
        <v>0.34599999999999997</v>
      </c>
      <c r="E13" s="84">
        <v>0.47599999999999998</v>
      </c>
      <c r="F13" s="83">
        <v>0.317</v>
      </c>
      <c r="G13" s="84">
        <v>0.46600000000000003</v>
      </c>
      <c r="H13" s="84">
        <v>9.4E-2</v>
      </c>
      <c r="I13" s="95" t="str">
        <f t="shared" si="0"/>
        <v>*</v>
      </c>
    </row>
    <row r="14" spans="1:9" x14ac:dyDescent="0.2">
      <c r="A14" s="97" t="s">
        <v>16</v>
      </c>
      <c r="B14" s="83">
        <v>0.85</v>
      </c>
      <c r="C14" s="84">
        <v>0.35799999999999998</v>
      </c>
      <c r="D14" s="83">
        <v>0.90900000000000003</v>
      </c>
      <c r="E14" s="84">
        <v>0.28799999999999998</v>
      </c>
      <c r="F14" s="83">
        <v>0.88</v>
      </c>
      <c r="G14" s="84">
        <v>0.32600000000000001</v>
      </c>
      <c r="H14" s="84">
        <v>1.7000000000000001E-2</v>
      </c>
      <c r="I14" s="95" t="str">
        <f t="shared" si="0"/>
        <v>**</v>
      </c>
    </row>
    <row r="15" spans="1:9" x14ac:dyDescent="0.2">
      <c r="A15" s="96" t="s">
        <v>17</v>
      </c>
      <c r="B15" s="81">
        <v>0.68200000000000005</v>
      </c>
      <c r="C15" s="82">
        <v>0.46600000000000003</v>
      </c>
      <c r="D15" s="81">
        <v>0.72199999999999998</v>
      </c>
      <c r="E15" s="82">
        <v>0.44900000000000001</v>
      </c>
      <c r="F15" s="81">
        <v>0.70199999999999996</v>
      </c>
      <c r="G15" s="82">
        <v>0.45800000000000002</v>
      </c>
      <c r="H15" s="82">
        <v>0.26</v>
      </c>
      <c r="I15" s="95" t="str">
        <f t="shared" si="0"/>
        <v/>
      </c>
    </row>
    <row r="16" spans="1:9" x14ac:dyDescent="0.2">
      <c r="A16" s="96" t="s">
        <v>18</v>
      </c>
      <c r="B16" s="81">
        <v>0.91700000000000004</v>
      </c>
      <c r="C16" s="82">
        <v>0.27600000000000002</v>
      </c>
      <c r="D16" s="81">
        <v>0.94</v>
      </c>
      <c r="E16" s="82">
        <v>0.23799999999999999</v>
      </c>
      <c r="F16" s="81">
        <v>0.92900000000000005</v>
      </c>
      <c r="G16" s="82">
        <v>0.25800000000000001</v>
      </c>
      <c r="H16" s="82">
        <v>0.249</v>
      </c>
      <c r="I16" s="95" t="str">
        <f t="shared" si="0"/>
        <v/>
      </c>
    </row>
    <row r="17" spans="1:9" x14ac:dyDescent="0.2">
      <c r="A17" s="97" t="s">
        <v>19</v>
      </c>
      <c r="B17" s="83">
        <v>0.84</v>
      </c>
      <c r="C17" s="84">
        <v>0.36699999999999999</v>
      </c>
      <c r="D17" s="83">
        <v>0.88700000000000001</v>
      </c>
      <c r="E17" s="84">
        <v>0.317</v>
      </c>
      <c r="F17" s="83">
        <v>0.86399999999999999</v>
      </c>
      <c r="G17" s="84">
        <v>0.34300000000000003</v>
      </c>
      <c r="H17" s="84">
        <v>6.7000000000000004E-2</v>
      </c>
      <c r="I17" s="95" t="str">
        <f t="shared" si="0"/>
        <v>*</v>
      </c>
    </row>
    <row r="18" spans="1:9" x14ac:dyDescent="0.2">
      <c r="A18" s="96" t="s">
        <v>20</v>
      </c>
      <c r="B18" s="81">
        <v>0.41299999999999998</v>
      </c>
      <c r="C18" s="82">
        <v>0.49299999999999999</v>
      </c>
      <c r="D18" s="81">
        <v>0.36799999999999999</v>
      </c>
      <c r="E18" s="82">
        <v>0.48299999999999998</v>
      </c>
      <c r="F18" s="81">
        <v>0.39</v>
      </c>
      <c r="G18" s="82">
        <v>0.48799999999999999</v>
      </c>
      <c r="H18" s="82">
        <v>0.218</v>
      </c>
      <c r="I18" s="95" t="str">
        <f t="shared" si="0"/>
        <v/>
      </c>
    </row>
    <row r="19" spans="1:9" x14ac:dyDescent="0.2">
      <c r="A19" s="96" t="s">
        <v>22</v>
      </c>
      <c r="B19" s="81">
        <v>0.74099999999999999</v>
      </c>
      <c r="C19" s="82">
        <v>0.439</v>
      </c>
      <c r="D19" s="81">
        <v>0.71199999999999997</v>
      </c>
      <c r="E19" s="82">
        <v>0.45400000000000001</v>
      </c>
      <c r="F19" s="81">
        <v>0.72599999999999998</v>
      </c>
      <c r="G19" s="82">
        <v>0.44600000000000001</v>
      </c>
      <c r="H19" s="82">
        <v>0.38200000000000001</v>
      </c>
      <c r="I19" s="95" t="str">
        <f t="shared" si="0"/>
        <v/>
      </c>
    </row>
    <row r="20" spans="1:9" x14ac:dyDescent="0.2">
      <c r="A20" s="97" t="s">
        <v>23</v>
      </c>
      <c r="B20" s="83">
        <v>0.254</v>
      </c>
      <c r="C20" s="84">
        <v>0.436</v>
      </c>
      <c r="D20" s="83">
        <v>0.32100000000000001</v>
      </c>
      <c r="E20" s="84">
        <v>0.46800000000000003</v>
      </c>
      <c r="F20" s="83">
        <v>0.28799999999999998</v>
      </c>
      <c r="G20" s="84">
        <v>0.45300000000000001</v>
      </c>
      <c r="H20" s="84">
        <v>4.4999999999999998E-2</v>
      </c>
      <c r="I20" s="95" t="str">
        <f t="shared" si="0"/>
        <v>**</v>
      </c>
    </row>
    <row r="21" spans="1:9" x14ac:dyDescent="0.2">
      <c r="A21" s="96" t="s">
        <v>24</v>
      </c>
      <c r="B21" s="81">
        <v>0.28199999999999997</v>
      </c>
      <c r="C21" s="82">
        <v>0.45100000000000001</v>
      </c>
      <c r="D21" s="81">
        <v>0.27500000000000002</v>
      </c>
      <c r="E21" s="82">
        <v>0.44700000000000001</v>
      </c>
      <c r="F21" s="81">
        <v>0.27800000000000002</v>
      </c>
      <c r="G21" s="82">
        <v>0.44800000000000001</v>
      </c>
      <c r="H21" s="82">
        <v>0.82699999999999996</v>
      </c>
      <c r="I21" s="95" t="str">
        <f t="shared" si="0"/>
        <v/>
      </c>
    </row>
    <row r="22" spans="1:9" x14ac:dyDescent="0.2">
      <c r="A22" s="97" t="s">
        <v>25</v>
      </c>
      <c r="B22" s="83">
        <v>0.41299999999999998</v>
      </c>
      <c r="C22" s="84">
        <v>0.49299999999999999</v>
      </c>
      <c r="D22" s="83">
        <v>0.26400000000000001</v>
      </c>
      <c r="E22" s="84">
        <v>0.441</v>
      </c>
      <c r="F22" s="83">
        <v>0.33700000000000002</v>
      </c>
      <c r="G22" s="84">
        <v>0.47299999999999998</v>
      </c>
      <c r="H22" s="84" t="s">
        <v>5</v>
      </c>
      <c r="I22" s="95" t="s">
        <v>21</v>
      </c>
    </row>
    <row r="23" spans="1:9" x14ac:dyDescent="0.2">
      <c r="A23" s="97" t="s">
        <v>26</v>
      </c>
      <c r="B23" s="83">
        <v>0.41099999999999998</v>
      </c>
      <c r="C23" s="84">
        <v>0.49299999999999999</v>
      </c>
      <c r="D23" s="83">
        <v>0.32500000000000001</v>
      </c>
      <c r="E23" s="84">
        <v>0.46899999999999997</v>
      </c>
      <c r="F23" s="83">
        <v>0.36699999999999999</v>
      </c>
      <c r="G23" s="84">
        <v>0.48299999999999998</v>
      </c>
      <c r="H23" s="84">
        <v>3.5000000000000003E-2</v>
      </c>
      <c r="I23" s="95" t="str">
        <f t="shared" si="0"/>
        <v>**</v>
      </c>
    </row>
    <row r="24" spans="1:9" x14ac:dyDescent="0.2">
      <c r="A24" s="96" t="s">
        <v>28</v>
      </c>
      <c r="B24" s="81">
        <v>0.23100000000000001</v>
      </c>
      <c r="C24" s="82">
        <v>0.42199999999999999</v>
      </c>
      <c r="D24" s="81">
        <v>0.223</v>
      </c>
      <c r="E24" s="82">
        <v>0.41699999999999998</v>
      </c>
      <c r="F24" s="81">
        <v>0.22700000000000001</v>
      </c>
      <c r="G24" s="82">
        <v>0.41899999999999998</v>
      </c>
      <c r="H24" s="82">
        <v>0.79300000000000004</v>
      </c>
      <c r="I24" s="95" t="str">
        <f t="shared" si="0"/>
        <v/>
      </c>
    </row>
    <row r="25" spans="1:9" x14ac:dyDescent="0.2">
      <c r="A25" s="96" t="s">
        <v>29</v>
      </c>
      <c r="B25" s="81">
        <v>0.79500000000000004</v>
      </c>
      <c r="C25" s="82">
        <v>0.40400000000000003</v>
      </c>
      <c r="D25" s="81">
        <v>0.75800000000000001</v>
      </c>
      <c r="E25" s="82">
        <v>0.42899999999999999</v>
      </c>
      <c r="F25" s="81">
        <v>0.77600000000000002</v>
      </c>
      <c r="G25" s="82">
        <v>0.41699999999999998</v>
      </c>
      <c r="H25" s="82">
        <v>0.24099999999999999</v>
      </c>
      <c r="I25" s="95" t="str">
        <f t="shared" si="0"/>
        <v/>
      </c>
    </row>
    <row r="26" spans="1:9" x14ac:dyDescent="0.2">
      <c r="A26" s="96" t="s">
        <v>30</v>
      </c>
      <c r="B26" s="81">
        <v>0.82299999999999995</v>
      </c>
      <c r="C26" s="82">
        <v>0.38200000000000001</v>
      </c>
      <c r="D26" s="81">
        <v>0.82699999999999996</v>
      </c>
      <c r="E26" s="82">
        <v>0.379</v>
      </c>
      <c r="F26" s="81">
        <v>0.82499999999999996</v>
      </c>
      <c r="G26" s="82">
        <v>0.38</v>
      </c>
      <c r="H26" s="82">
        <v>0.9</v>
      </c>
      <c r="I26" s="95" t="str">
        <f t="shared" si="0"/>
        <v/>
      </c>
    </row>
    <row r="27" spans="1:9" x14ac:dyDescent="0.2">
      <c r="A27" s="96" t="s">
        <v>31</v>
      </c>
      <c r="B27" s="81">
        <v>9.7000000000000003E-2</v>
      </c>
      <c r="C27" s="82">
        <v>0.29599999999999999</v>
      </c>
      <c r="D27" s="81">
        <v>8.5000000000000006E-2</v>
      </c>
      <c r="E27" s="82">
        <v>0.28000000000000003</v>
      </c>
      <c r="F27" s="81">
        <v>9.0999999999999998E-2</v>
      </c>
      <c r="G27" s="82">
        <v>0.28799999999999998</v>
      </c>
      <c r="H27" s="82">
        <v>0.58699999999999997</v>
      </c>
      <c r="I27" s="95" t="str">
        <f t="shared" si="0"/>
        <v/>
      </c>
    </row>
    <row r="28" spans="1:9" x14ac:dyDescent="0.2">
      <c r="A28" s="96" t="s">
        <v>32</v>
      </c>
      <c r="B28" s="81">
        <v>4.2999999999999997E-2</v>
      </c>
      <c r="C28" s="82">
        <v>0.20300000000000001</v>
      </c>
      <c r="D28" s="81">
        <v>5.5E-2</v>
      </c>
      <c r="E28" s="82">
        <v>0.22800000000000001</v>
      </c>
      <c r="F28" s="81">
        <v>4.9000000000000002E-2</v>
      </c>
      <c r="G28" s="82">
        <v>0.216</v>
      </c>
      <c r="H28" s="82">
        <v>0.45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5.0999999999999997E-2</v>
      </c>
      <c r="C29" s="100">
        <v>0.221</v>
      </c>
      <c r="D29" s="99">
        <v>4.7E-2</v>
      </c>
      <c r="E29" s="100">
        <v>0.21099999999999999</v>
      </c>
      <c r="F29" s="99">
        <v>4.9000000000000002E-2</v>
      </c>
      <c r="G29" s="100">
        <v>0.216</v>
      </c>
      <c r="H29" s="100">
        <v>0.77700000000000002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6746-8028-884F-9E36-7C98C490BCEB}">
  <dimension ref="A1:I29"/>
  <sheetViews>
    <sheetView workbookViewId="0">
      <selection activeCell="D39" sqref="D39"/>
    </sheetView>
  </sheetViews>
  <sheetFormatPr baseColWidth="10" defaultColWidth="8.83203125" defaultRowHeight="15" x14ac:dyDescent="0.2"/>
  <cols>
    <col min="1" max="1" width="17.5" style="76" customWidth="1"/>
    <col min="2" max="16384" width="8.83203125" style="76"/>
  </cols>
  <sheetData>
    <row r="1" spans="1:9" x14ac:dyDescent="0.2">
      <c r="A1" s="87" t="s">
        <v>6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252</v>
      </c>
      <c r="C4" s="80">
        <v>0.4728</v>
      </c>
      <c r="D4" s="79">
        <v>281</v>
      </c>
      <c r="E4" s="80">
        <v>0.5272</v>
      </c>
      <c r="F4" s="79">
        <v>533</v>
      </c>
      <c r="G4" s="80">
        <v>1</v>
      </c>
      <c r="H4" s="77"/>
      <c r="I4" s="95"/>
    </row>
    <row r="5" spans="1:9" x14ac:dyDescent="0.2">
      <c r="A5" s="96" t="s">
        <v>7</v>
      </c>
      <c r="B5" s="81">
        <v>0.87</v>
      </c>
      <c r="C5" s="82">
        <v>0.33600000000000002</v>
      </c>
      <c r="D5" s="81">
        <v>0.88800000000000001</v>
      </c>
      <c r="E5" s="82">
        <v>0.315</v>
      </c>
      <c r="F5" s="81">
        <v>0.88</v>
      </c>
      <c r="G5" s="82">
        <v>0.32500000000000001</v>
      </c>
      <c r="H5" s="82">
        <v>0.52600000000000002</v>
      </c>
      <c r="I5" s="95" t="str">
        <f t="shared" ref="I5:I29" si="0">IF(H5&gt;0.1,"",
   IF(AND(H5&lt;=0.1,H5&gt;0.05),"*",
      IF(AND(H5&lt;=0.05,H5&gt;0.01),"**",
         IF(H5&lt;=0.01,"***",""))))</f>
        <v/>
      </c>
    </row>
    <row r="6" spans="1:9" x14ac:dyDescent="0.2">
      <c r="A6" s="97" t="s">
        <v>8</v>
      </c>
      <c r="B6" s="83">
        <v>0.82499999999999996</v>
      </c>
      <c r="C6" s="84">
        <v>0.38100000000000001</v>
      </c>
      <c r="D6" s="83">
        <v>0.88700000000000001</v>
      </c>
      <c r="E6" s="84">
        <v>0.317</v>
      </c>
      <c r="F6" s="83">
        <v>0.85699999999999998</v>
      </c>
      <c r="G6" s="84">
        <v>0.35</v>
      </c>
      <c r="H6" s="84">
        <v>4.2000000000000003E-2</v>
      </c>
      <c r="I6" s="95" t="str">
        <f t="shared" si="0"/>
        <v>**</v>
      </c>
    </row>
    <row r="7" spans="1:9" x14ac:dyDescent="0.2">
      <c r="A7" s="96" t="s">
        <v>9</v>
      </c>
      <c r="B7" s="81">
        <v>0.97399999999999998</v>
      </c>
      <c r="C7" s="82">
        <v>0.159</v>
      </c>
      <c r="D7" s="81">
        <v>0.99199999999999999</v>
      </c>
      <c r="E7" s="82">
        <v>8.8999999999999996E-2</v>
      </c>
      <c r="F7" s="81">
        <v>0.98299999999999998</v>
      </c>
      <c r="G7" s="82">
        <v>0.128</v>
      </c>
      <c r="H7" s="82">
        <v>0.126</v>
      </c>
      <c r="I7" s="95" t="str">
        <f t="shared" si="0"/>
        <v/>
      </c>
    </row>
    <row r="8" spans="1:9" x14ac:dyDescent="0.2">
      <c r="A8" s="97" t="s">
        <v>10</v>
      </c>
      <c r="B8" s="83">
        <v>0.156</v>
      </c>
      <c r="C8" s="84">
        <v>0.36399999999999999</v>
      </c>
      <c r="D8" s="83">
        <v>8.2000000000000003E-2</v>
      </c>
      <c r="E8" s="84">
        <v>0.27500000000000002</v>
      </c>
      <c r="F8" s="83">
        <v>0.11700000000000001</v>
      </c>
      <c r="G8" s="84">
        <v>0.32100000000000001</v>
      </c>
      <c r="H8" s="84">
        <v>8.0000000000000002E-3</v>
      </c>
      <c r="I8" s="95" t="str">
        <f t="shared" si="0"/>
        <v>***</v>
      </c>
    </row>
    <row r="9" spans="1:9" x14ac:dyDescent="0.2">
      <c r="A9" s="96" t="s">
        <v>11</v>
      </c>
      <c r="B9" s="81">
        <v>0.77900000000000003</v>
      </c>
      <c r="C9" s="82">
        <v>0.41599999999999998</v>
      </c>
      <c r="D9" s="81">
        <v>0.82399999999999995</v>
      </c>
      <c r="E9" s="82">
        <v>0.38200000000000001</v>
      </c>
      <c r="F9" s="81">
        <v>0.80300000000000005</v>
      </c>
      <c r="G9" s="82">
        <v>0.39800000000000002</v>
      </c>
      <c r="H9" s="82">
        <v>0.19900000000000001</v>
      </c>
      <c r="I9" s="95" t="str">
        <f t="shared" si="0"/>
        <v/>
      </c>
    </row>
    <row r="10" spans="1:9" x14ac:dyDescent="0.2">
      <c r="A10" s="96" t="s">
        <v>12</v>
      </c>
      <c r="B10" s="81">
        <v>0.61099999999999999</v>
      </c>
      <c r="C10" s="82">
        <v>0.48799999999999999</v>
      </c>
      <c r="D10" s="81">
        <v>0.59599999999999997</v>
      </c>
      <c r="E10" s="82">
        <v>0.49199999999999999</v>
      </c>
      <c r="F10" s="81">
        <v>0.60299999999999998</v>
      </c>
      <c r="G10" s="82">
        <v>0.49</v>
      </c>
      <c r="H10" s="82">
        <v>0.71499999999999997</v>
      </c>
      <c r="I10" s="95" t="str">
        <f t="shared" si="0"/>
        <v/>
      </c>
    </row>
    <row r="11" spans="1:9" x14ac:dyDescent="0.2">
      <c r="A11" s="97" t="s">
        <v>13</v>
      </c>
      <c r="B11" s="83">
        <v>0.92800000000000005</v>
      </c>
      <c r="C11" s="84">
        <v>0.25900000000000001</v>
      </c>
      <c r="D11" s="83">
        <v>0.96399999999999997</v>
      </c>
      <c r="E11" s="84">
        <v>0.187</v>
      </c>
      <c r="F11" s="83">
        <v>0.94699999999999995</v>
      </c>
      <c r="G11" s="84">
        <v>0.22500000000000001</v>
      </c>
      <c r="H11" s="84">
        <v>6.7000000000000004E-2</v>
      </c>
      <c r="I11" s="95" t="str">
        <f t="shared" si="0"/>
        <v>*</v>
      </c>
    </row>
    <row r="12" spans="1:9" x14ac:dyDescent="0.2">
      <c r="A12" s="96" t="s">
        <v>14</v>
      </c>
      <c r="B12" s="81">
        <v>0.92400000000000004</v>
      </c>
      <c r="C12" s="82">
        <v>0.26600000000000001</v>
      </c>
      <c r="D12" s="81">
        <v>0.94899999999999995</v>
      </c>
      <c r="E12" s="82">
        <v>0.219</v>
      </c>
      <c r="F12" s="81">
        <v>0.93700000000000006</v>
      </c>
      <c r="G12" s="82">
        <v>0.24299999999999999</v>
      </c>
      <c r="H12" s="82">
        <v>0.22500000000000001</v>
      </c>
      <c r="I12" s="95" t="str">
        <f t="shared" si="0"/>
        <v/>
      </c>
    </row>
    <row r="13" spans="1:9" x14ac:dyDescent="0.2">
      <c r="A13" s="97" t="s">
        <v>15</v>
      </c>
      <c r="B13" s="83">
        <v>0.193</v>
      </c>
      <c r="C13" s="84">
        <v>0.39500000000000002</v>
      </c>
      <c r="D13" s="83">
        <v>0.124</v>
      </c>
      <c r="E13" s="84">
        <v>0.33</v>
      </c>
      <c r="F13" s="83">
        <v>0.156</v>
      </c>
      <c r="G13" s="84">
        <v>0.36399999999999999</v>
      </c>
      <c r="H13" s="84">
        <v>0.03</v>
      </c>
      <c r="I13" s="95" t="str">
        <f t="shared" si="0"/>
        <v>**</v>
      </c>
    </row>
    <row r="14" spans="1:9" x14ac:dyDescent="0.2">
      <c r="A14" s="96" t="s">
        <v>16</v>
      </c>
      <c r="B14" s="81">
        <v>0.93600000000000005</v>
      </c>
      <c r="C14" s="82">
        <v>0.246</v>
      </c>
      <c r="D14" s="81">
        <v>0.95699999999999996</v>
      </c>
      <c r="E14" s="82">
        <v>0.20399999999999999</v>
      </c>
      <c r="F14" s="81">
        <v>0.94699999999999995</v>
      </c>
      <c r="G14" s="82">
        <v>0.22500000000000001</v>
      </c>
      <c r="H14" s="82">
        <v>0.28599999999999998</v>
      </c>
      <c r="I14" s="95" t="str">
        <f t="shared" si="0"/>
        <v/>
      </c>
    </row>
    <row r="15" spans="1:9" x14ac:dyDescent="0.2">
      <c r="A15" s="96" t="s">
        <v>17</v>
      </c>
      <c r="B15" s="81">
        <v>0.77600000000000002</v>
      </c>
      <c r="C15" s="82">
        <v>0.41799999999999998</v>
      </c>
      <c r="D15" s="81">
        <v>0.78600000000000003</v>
      </c>
      <c r="E15" s="82">
        <v>0.41099999999999998</v>
      </c>
      <c r="F15" s="81">
        <v>0.78100000000000003</v>
      </c>
      <c r="G15" s="82">
        <v>0.41399999999999998</v>
      </c>
      <c r="H15" s="82">
        <v>0.77700000000000002</v>
      </c>
      <c r="I15" s="95" t="str">
        <f t="shared" si="0"/>
        <v/>
      </c>
    </row>
    <row r="16" spans="1:9" x14ac:dyDescent="0.2">
      <c r="A16" s="97" t="s">
        <v>18</v>
      </c>
      <c r="B16" s="83">
        <v>0.95599999999999996</v>
      </c>
      <c r="C16" s="84">
        <v>0.20599999999999999</v>
      </c>
      <c r="D16" s="83">
        <v>0.98599999999999999</v>
      </c>
      <c r="E16" s="84">
        <v>0.11899999999999999</v>
      </c>
      <c r="F16" s="83">
        <v>0.97199999999999998</v>
      </c>
      <c r="G16" s="84">
        <v>0.16600000000000001</v>
      </c>
      <c r="H16" s="84">
        <v>4.1000000000000002E-2</v>
      </c>
      <c r="I16" s="95" t="str">
        <f t="shared" si="0"/>
        <v>**</v>
      </c>
    </row>
    <row r="17" spans="1:9" x14ac:dyDescent="0.2">
      <c r="A17" s="96" t="s">
        <v>19</v>
      </c>
      <c r="B17" s="81">
        <v>0.75600000000000001</v>
      </c>
      <c r="C17" s="82">
        <v>0.43</v>
      </c>
      <c r="D17" s="81">
        <v>0.80700000000000005</v>
      </c>
      <c r="E17" s="82">
        <v>0.39500000000000002</v>
      </c>
      <c r="F17" s="81">
        <v>0.78300000000000003</v>
      </c>
      <c r="G17" s="82">
        <v>0.41299999999999998</v>
      </c>
      <c r="H17" s="82">
        <v>0.154</v>
      </c>
      <c r="I17" s="95" t="str">
        <f t="shared" si="0"/>
        <v/>
      </c>
    </row>
    <row r="18" spans="1:9" x14ac:dyDescent="0.2">
      <c r="A18" s="97" t="s">
        <v>20</v>
      </c>
      <c r="B18" s="83">
        <v>0.38</v>
      </c>
      <c r="C18" s="84">
        <v>0.48599999999999999</v>
      </c>
      <c r="D18" s="83">
        <v>0.246</v>
      </c>
      <c r="E18" s="84">
        <v>0.43099999999999999</v>
      </c>
      <c r="F18" s="83">
        <v>0.309</v>
      </c>
      <c r="G18" s="84">
        <v>0.46200000000000002</v>
      </c>
      <c r="H18" s="84" t="s">
        <v>5</v>
      </c>
      <c r="I18" s="95" t="s">
        <v>21</v>
      </c>
    </row>
    <row r="19" spans="1:9" x14ac:dyDescent="0.2">
      <c r="A19" s="97" t="s">
        <v>22</v>
      </c>
      <c r="B19" s="83">
        <v>0.68799999999999994</v>
      </c>
      <c r="C19" s="84">
        <v>0.46400000000000002</v>
      </c>
      <c r="D19" s="83">
        <v>0.754</v>
      </c>
      <c r="E19" s="84">
        <v>0.432</v>
      </c>
      <c r="F19" s="83">
        <v>0.72299999999999998</v>
      </c>
      <c r="G19" s="84">
        <v>0.44800000000000001</v>
      </c>
      <c r="H19" s="84">
        <v>9.2999999999999999E-2</v>
      </c>
      <c r="I19" s="95" t="str">
        <f t="shared" si="0"/>
        <v>*</v>
      </c>
    </row>
    <row r="20" spans="1:9" x14ac:dyDescent="0.2">
      <c r="A20" s="96" t="s">
        <v>23</v>
      </c>
      <c r="B20" s="81">
        <v>0.29499999999999998</v>
      </c>
      <c r="C20" s="82">
        <v>0.45700000000000002</v>
      </c>
      <c r="D20" s="81">
        <v>0.32400000000000001</v>
      </c>
      <c r="E20" s="82">
        <v>0.46899999999999997</v>
      </c>
      <c r="F20" s="81">
        <v>0.31</v>
      </c>
      <c r="G20" s="82">
        <v>0.46300000000000002</v>
      </c>
      <c r="H20" s="82">
        <v>0.47099999999999997</v>
      </c>
      <c r="I20" s="95" t="str">
        <f t="shared" si="0"/>
        <v/>
      </c>
    </row>
    <row r="21" spans="1:9" x14ac:dyDescent="0.2">
      <c r="A21" s="96" t="s">
        <v>24</v>
      </c>
      <c r="B21" s="81">
        <v>0.223</v>
      </c>
      <c r="C21" s="82">
        <v>0.41699999999999998</v>
      </c>
      <c r="D21" s="81">
        <v>0.27800000000000002</v>
      </c>
      <c r="E21" s="82">
        <v>0.44900000000000001</v>
      </c>
      <c r="F21" s="81">
        <v>0.252</v>
      </c>
      <c r="G21" s="82">
        <v>0.435</v>
      </c>
      <c r="H21" s="82">
        <v>0.14899999999999999</v>
      </c>
      <c r="I21" s="95" t="str">
        <f t="shared" si="0"/>
        <v/>
      </c>
    </row>
    <row r="22" spans="1:9" x14ac:dyDescent="0.2">
      <c r="A22" s="97" t="s">
        <v>25</v>
      </c>
      <c r="B22" s="83">
        <v>0.438</v>
      </c>
      <c r="C22" s="84">
        <v>0.497</v>
      </c>
      <c r="D22" s="83">
        <v>0.34200000000000003</v>
      </c>
      <c r="E22" s="84">
        <v>0.47499999999999998</v>
      </c>
      <c r="F22" s="83">
        <v>0.38700000000000001</v>
      </c>
      <c r="G22" s="84">
        <v>0.48799999999999999</v>
      </c>
      <c r="H22" s="84">
        <v>2.1999999999999999E-2</v>
      </c>
      <c r="I22" s="95" t="str">
        <f t="shared" si="0"/>
        <v>**</v>
      </c>
    </row>
    <row r="23" spans="1:9" x14ac:dyDescent="0.2">
      <c r="A23" s="96" t="s">
        <v>26</v>
      </c>
      <c r="B23" s="81" t="s">
        <v>27</v>
      </c>
      <c r="C23" s="82" t="s">
        <v>27</v>
      </c>
      <c r="D23" s="81" t="s">
        <v>27</v>
      </c>
      <c r="E23" s="82" t="s">
        <v>27</v>
      </c>
      <c r="F23" s="81" t="s">
        <v>27</v>
      </c>
      <c r="G23" s="82" t="s">
        <v>27</v>
      </c>
      <c r="H23" s="85" t="s">
        <v>27</v>
      </c>
      <c r="I23" s="95" t="str">
        <f t="shared" si="0"/>
        <v/>
      </c>
    </row>
    <row r="24" spans="1:9" x14ac:dyDescent="0.2">
      <c r="A24" s="96" t="s">
        <v>28</v>
      </c>
      <c r="B24" s="81">
        <v>0.46600000000000003</v>
      </c>
      <c r="C24" s="82">
        <v>0.5</v>
      </c>
      <c r="D24" s="81">
        <v>0.48399999999999999</v>
      </c>
      <c r="E24" s="82">
        <v>0.501</v>
      </c>
      <c r="F24" s="81">
        <v>0.47599999999999998</v>
      </c>
      <c r="G24" s="82">
        <v>0.5</v>
      </c>
      <c r="H24" s="82">
        <v>0.68100000000000005</v>
      </c>
      <c r="I24" s="95" t="str">
        <f t="shared" si="0"/>
        <v/>
      </c>
    </row>
    <row r="25" spans="1:9" x14ac:dyDescent="0.2">
      <c r="A25" s="96" t="s">
        <v>29</v>
      </c>
      <c r="B25" s="81">
        <v>0.80500000000000005</v>
      </c>
      <c r="C25" s="82">
        <v>0.39700000000000002</v>
      </c>
      <c r="D25" s="81">
        <v>0.83599999999999997</v>
      </c>
      <c r="E25" s="82">
        <v>0.371</v>
      </c>
      <c r="F25" s="81">
        <v>0.82099999999999995</v>
      </c>
      <c r="G25" s="82">
        <v>0.38400000000000001</v>
      </c>
      <c r="H25" s="82">
        <v>0.36</v>
      </c>
      <c r="I25" s="95" t="str">
        <f t="shared" si="0"/>
        <v/>
      </c>
    </row>
    <row r="26" spans="1:9" x14ac:dyDescent="0.2">
      <c r="A26" s="97" t="s">
        <v>30</v>
      </c>
      <c r="B26" s="83">
        <v>0.74099999999999999</v>
      </c>
      <c r="C26" s="84">
        <v>0.439</v>
      </c>
      <c r="D26" s="83">
        <v>0.86399999999999999</v>
      </c>
      <c r="E26" s="84">
        <v>0.34399999999999997</v>
      </c>
      <c r="F26" s="83">
        <v>0.80600000000000005</v>
      </c>
      <c r="G26" s="84">
        <v>0.39600000000000002</v>
      </c>
      <c r="H26" s="84" t="s">
        <v>5</v>
      </c>
      <c r="I26" s="95" t="s">
        <v>21</v>
      </c>
    </row>
    <row r="27" spans="1:9" x14ac:dyDescent="0.2">
      <c r="A27" s="96" t="s">
        <v>31</v>
      </c>
      <c r="B27" s="81">
        <v>0.33900000000000002</v>
      </c>
      <c r="C27" s="82">
        <v>0.47399999999999998</v>
      </c>
      <c r="D27" s="81">
        <v>0.36899999999999999</v>
      </c>
      <c r="E27" s="82">
        <v>0.48299999999999998</v>
      </c>
      <c r="F27" s="81">
        <v>0.35499999999999998</v>
      </c>
      <c r="G27" s="82">
        <v>0.47899999999999998</v>
      </c>
      <c r="H27" s="82">
        <v>0.46400000000000002</v>
      </c>
      <c r="I27" s="95" t="str">
        <f t="shared" si="0"/>
        <v/>
      </c>
    </row>
    <row r="28" spans="1:9" x14ac:dyDescent="0.2">
      <c r="A28" s="96" t="s">
        <v>32</v>
      </c>
      <c r="B28" s="81">
        <v>0.17899999999999999</v>
      </c>
      <c r="C28" s="82">
        <v>0.38400000000000001</v>
      </c>
      <c r="D28" s="81">
        <v>0.216</v>
      </c>
      <c r="E28" s="82">
        <v>0.41199999999999998</v>
      </c>
      <c r="F28" s="81">
        <v>0.19800000000000001</v>
      </c>
      <c r="G28" s="82">
        <v>0.39900000000000002</v>
      </c>
      <c r="H28" s="82">
        <v>0.29399999999999998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0.27100000000000002</v>
      </c>
      <c r="C29" s="100">
        <v>0.44500000000000001</v>
      </c>
      <c r="D29" s="99">
        <v>0.28299999999999997</v>
      </c>
      <c r="E29" s="100">
        <v>0.45100000000000001</v>
      </c>
      <c r="F29" s="99">
        <v>0.27700000000000002</v>
      </c>
      <c r="G29" s="100">
        <v>0.44800000000000001</v>
      </c>
      <c r="H29" s="100">
        <v>0.754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72C7-BF92-E646-9A81-43C2E2F684C5}">
  <dimension ref="A1:I29"/>
  <sheetViews>
    <sheetView workbookViewId="0">
      <selection activeCell="F2" sqref="F2:G2"/>
    </sheetView>
  </sheetViews>
  <sheetFormatPr baseColWidth="10" defaultColWidth="8.83203125" defaultRowHeight="15" x14ac:dyDescent="0.2"/>
  <cols>
    <col min="1" max="16384" width="8.83203125" style="76"/>
  </cols>
  <sheetData>
    <row r="1" spans="1:9" x14ac:dyDescent="0.2">
      <c r="A1" s="87" t="s">
        <v>34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385</v>
      </c>
      <c r="C4" s="80">
        <v>0.51197000000000004</v>
      </c>
      <c r="D4" s="79">
        <v>367</v>
      </c>
      <c r="E4" s="80">
        <v>0.48803000000000002</v>
      </c>
      <c r="F4" s="79">
        <v>752</v>
      </c>
      <c r="G4" s="80">
        <v>1</v>
      </c>
      <c r="H4" s="77"/>
      <c r="I4" s="95"/>
    </row>
    <row r="5" spans="1:9" x14ac:dyDescent="0.2">
      <c r="A5" s="96" t="s">
        <v>7</v>
      </c>
      <c r="B5" s="81">
        <v>0.83899999999999997</v>
      </c>
      <c r="C5" s="82">
        <v>0.36799999999999999</v>
      </c>
      <c r="D5" s="81">
        <v>0.83599999999999997</v>
      </c>
      <c r="E5" s="82">
        <v>0.371</v>
      </c>
      <c r="F5" s="81">
        <v>0.83699999999999997</v>
      </c>
      <c r="G5" s="82">
        <v>0.36899999999999999</v>
      </c>
      <c r="H5" s="82">
        <v>0.89800000000000002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7" t="s">
        <v>8</v>
      </c>
      <c r="B6" s="83">
        <v>0.68600000000000005</v>
      </c>
      <c r="C6" s="84">
        <v>0.46500000000000002</v>
      </c>
      <c r="D6" s="83">
        <v>0.81</v>
      </c>
      <c r="E6" s="84">
        <v>0.39300000000000002</v>
      </c>
      <c r="F6" s="83">
        <v>0.747</v>
      </c>
      <c r="G6" s="84">
        <v>0.435</v>
      </c>
      <c r="H6" s="84" t="s">
        <v>5</v>
      </c>
      <c r="I6" s="95" t="s">
        <v>21</v>
      </c>
    </row>
    <row r="7" spans="1:9" x14ac:dyDescent="0.2">
      <c r="A7" s="96" t="s">
        <v>9</v>
      </c>
      <c r="B7" s="81">
        <v>0.94899999999999995</v>
      </c>
      <c r="C7" s="82">
        <v>0.221</v>
      </c>
      <c r="D7" s="81">
        <v>0.97199999999999998</v>
      </c>
      <c r="E7" s="82">
        <v>0.16600000000000001</v>
      </c>
      <c r="F7" s="81">
        <v>0.96</v>
      </c>
      <c r="G7" s="82">
        <v>0.19600000000000001</v>
      </c>
      <c r="H7" s="82">
        <v>0.113</v>
      </c>
      <c r="I7" s="95" t="str">
        <f t="shared" ref="I7:I29" si="0">IF(H7&gt;0.1,"",
   IF(AND(H7&lt;=0.1,H7&gt;0.05),"*",
      IF(AND(H7&lt;=0.05,H7&gt;0.01),"**",
         IF(H7&lt;=0.01,"***",""))))</f>
        <v/>
      </c>
    </row>
    <row r="8" spans="1:9" x14ac:dyDescent="0.2">
      <c r="A8" s="96" t="s">
        <v>10</v>
      </c>
      <c r="B8" s="81">
        <v>0.21199999999999999</v>
      </c>
      <c r="C8" s="82">
        <v>0.41</v>
      </c>
      <c r="D8" s="81">
        <v>0.19800000000000001</v>
      </c>
      <c r="E8" s="82">
        <v>0.39900000000000002</v>
      </c>
      <c r="F8" s="81">
        <v>0.20499999999999999</v>
      </c>
      <c r="G8" s="82">
        <v>0.40400000000000003</v>
      </c>
      <c r="H8" s="82">
        <v>0.63900000000000001</v>
      </c>
      <c r="I8" s="95" t="str">
        <f t="shared" si="0"/>
        <v/>
      </c>
    </row>
    <row r="9" spans="1:9" x14ac:dyDescent="0.2">
      <c r="A9" s="96" t="s">
        <v>11</v>
      </c>
      <c r="B9" s="81">
        <v>0.78</v>
      </c>
      <c r="C9" s="82">
        <v>0.41499999999999998</v>
      </c>
      <c r="D9" s="81">
        <v>0.78900000000000003</v>
      </c>
      <c r="E9" s="82">
        <v>0.40899999999999997</v>
      </c>
      <c r="F9" s="81">
        <v>0.78400000000000003</v>
      </c>
      <c r="G9" s="82">
        <v>0.41199999999999998</v>
      </c>
      <c r="H9" s="82">
        <v>0.76</v>
      </c>
      <c r="I9" s="95" t="str">
        <f t="shared" si="0"/>
        <v/>
      </c>
    </row>
    <row r="10" spans="1:9" x14ac:dyDescent="0.2">
      <c r="A10" s="97" t="s">
        <v>12</v>
      </c>
      <c r="B10" s="83">
        <v>0.50800000000000001</v>
      </c>
      <c r="C10" s="84">
        <v>0.501</v>
      </c>
      <c r="D10" s="83">
        <v>0.57999999999999996</v>
      </c>
      <c r="E10" s="84">
        <v>0.49399999999999999</v>
      </c>
      <c r="F10" s="83">
        <v>0.54300000000000004</v>
      </c>
      <c r="G10" s="84">
        <v>0.498</v>
      </c>
      <c r="H10" s="84">
        <v>0.05</v>
      </c>
      <c r="I10" s="95" t="str">
        <f t="shared" si="0"/>
        <v>**</v>
      </c>
    </row>
    <row r="11" spans="1:9" x14ac:dyDescent="0.2">
      <c r="A11" s="97" t="s">
        <v>13</v>
      </c>
      <c r="B11" s="83">
        <v>0.91100000000000003</v>
      </c>
      <c r="C11" s="84">
        <v>0.28599999999999998</v>
      </c>
      <c r="D11" s="83">
        <v>0.94599999999999995</v>
      </c>
      <c r="E11" s="84">
        <v>0.22600000000000001</v>
      </c>
      <c r="F11" s="83">
        <v>0.92800000000000005</v>
      </c>
      <c r="G11" s="84">
        <v>0.25900000000000001</v>
      </c>
      <c r="H11" s="84">
        <v>6.4000000000000001E-2</v>
      </c>
      <c r="I11" s="95" t="str">
        <f t="shared" si="0"/>
        <v>*</v>
      </c>
    </row>
    <row r="12" spans="1:9" x14ac:dyDescent="0.2">
      <c r="A12" s="96" t="s">
        <v>14</v>
      </c>
      <c r="B12" s="81">
        <v>0.91600000000000004</v>
      </c>
      <c r="C12" s="82">
        <v>0.27800000000000002</v>
      </c>
      <c r="D12" s="81">
        <v>0.90700000000000003</v>
      </c>
      <c r="E12" s="82">
        <v>0.29099999999999998</v>
      </c>
      <c r="F12" s="81">
        <v>0.91100000000000003</v>
      </c>
      <c r="G12" s="82">
        <v>0.28399999999999997</v>
      </c>
      <c r="H12" s="82">
        <v>0.66400000000000003</v>
      </c>
      <c r="I12" s="95" t="str">
        <f t="shared" si="0"/>
        <v/>
      </c>
    </row>
    <row r="13" spans="1:9" x14ac:dyDescent="0.2">
      <c r="A13" s="96" t="s">
        <v>15</v>
      </c>
      <c r="B13" s="81">
        <v>0.34799999999999998</v>
      </c>
      <c r="C13" s="82">
        <v>0.47699999999999998</v>
      </c>
      <c r="D13" s="81">
        <v>0.33300000000000002</v>
      </c>
      <c r="E13" s="82">
        <v>0.47199999999999998</v>
      </c>
      <c r="F13" s="81">
        <v>0.34100000000000003</v>
      </c>
      <c r="G13" s="82">
        <v>0.47399999999999998</v>
      </c>
      <c r="H13" s="82">
        <v>0.68500000000000005</v>
      </c>
      <c r="I13" s="95" t="str">
        <f t="shared" si="0"/>
        <v/>
      </c>
    </row>
    <row r="14" spans="1:9" x14ac:dyDescent="0.2">
      <c r="A14" s="96" t="s">
        <v>16</v>
      </c>
      <c r="B14" s="81">
        <v>0.87</v>
      </c>
      <c r="C14" s="82">
        <v>0.33700000000000002</v>
      </c>
      <c r="D14" s="81">
        <v>0.878</v>
      </c>
      <c r="E14" s="82">
        <v>0.32800000000000001</v>
      </c>
      <c r="F14" s="81">
        <v>0.874</v>
      </c>
      <c r="G14" s="82">
        <v>0.33200000000000002</v>
      </c>
      <c r="H14" s="82">
        <v>0.73899999999999999</v>
      </c>
      <c r="I14" s="95" t="str">
        <f t="shared" si="0"/>
        <v/>
      </c>
    </row>
    <row r="15" spans="1:9" x14ac:dyDescent="0.2">
      <c r="A15" s="97" t="s">
        <v>17</v>
      </c>
      <c r="B15" s="83">
        <v>0.65100000000000002</v>
      </c>
      <c r="C15" s="84">
        <v>0.47699999999999998</v>
      </c>
      <c r="D15" s="83">
        <v>0.77600000000000002</v>
      </c>
      <c r="E15" s="84">
        <v>0.41699999999999998</v>
      </c>
      <c r="F15" s="83">
        <v>0.71299999999999997</v>
      </c>
      <c r="G15" s="84">
        <v>0.45300000000000001</v>
      </c>
      <c r="H15" s="84" t="s">
        <v>5</v>
      </c>
      <c r="I15" s="95" t="s">
        <v>21</v>
      </c>
    </row>
    <row r="16" spans="1:9" x14ac:dyDescent="0.2">
      <c r="A16" s="96" t="s">
        <v>18</v>
      </c>
      <c r="B16" s="81">
        <v>0.92100000000000004</v>
      </c>
      <c r="C16" s="82">
        <v>0.27</v>
      </c>
      <c r="D16" s="81">
        <v>0.92700000000000005</v>
      </c>
      <c r="E16" s="82">
        <v>0.26100000000000001</v>
      </c>
      <c r="F16" s="81">
        <v>0.92400000000000004</v>
      </c>
      <c r="G16" s="82">
        <v>0.26500000000000001</v>
      </c>
      <c r="H16" s="82">
        <v>0.78700000000000003</v>
      </c>
      <c r="I16" s="95" t="str">
        <f t="shared" si="0"/>
        <v/>
      </c>
    </row>
    <row r="17" spans="1:9" x14ac:dyDescent="0.2">
      <c r="A17" s="96" t="s">
        <v>19</v>
      </c>
      <c r="B17" s="81">
        <v>0.81599999999999995</v>
      </c>
      <c r="C17" s="82">
        <v>0.38800000000000001</v>
      </c>
      <c r="D17" s="81">
        <v>0.77200000000000002</v>
      </c>
      <c r="E17" s="82">
        <v>0.42</v>
      </c>
      <c r="F17" s="81">
        <v>0.79500000000000004</v>
      </c>
      <c r="G17" s="82">
        <v>0.40400000000000003</v>
      </c>
      <c r="H17" s="82">
        <v>0.13700000000000001</v>
      </c>
      <c r="I17" s="95" t="str">
        <f t="shared" si="0"/>
        <v/>
      </c>
    </row>
    <row r="18" spans="1:9" x14ac:dyDescent="0.2">
      <c r="A18" s="96" t="s">
        <v>20</v>
      </c>
      <c r="B18" s="81">
        <v>0.64900000000000002</v>
      </c>
      <c r="C18" s="82">
        <v>0.47799999999999998</v>
      </c>
      <c r="D18" s="81">
        <v>0.59099999999999997</v>
      </c>
      <c r="E18" s="82">
        <v>0.49199999999999999</v>
      </c>
      <c r="F18" s="81">
        <v>0.621</v>
      </c>
      <c r="G18" s="82">
        <v>0.48599999999999999</v>
      </c>
      <c r="H18" s="82">
        <v>0.108</v>
      </c>
      <c r="I18" s="95" t="str">
        <f t="shared" si="0"/>
        <v/>
      </c>
    </row>
    <row r="19" spans="1:9" x14ac:dyDescent="0.2">
      <c r="A19" s="96" t="s">
        <v>22</v>
      </c>
      <c r="B19" s="81">
        <v>0.80100000000000005</v>
      </c>
      <c r="C19" s="82">
        <v>0.4</v>
      </c>
      <c r="D19" s="81">
        <v>0.79200000000000004</v>
      </c>
      <c r="E19" s="82">
        <v>0.40699999999999997</v>
      </c>
      <c r="F19" s="81">
        <v>0.79600000000000004</v>
      </c>
      <c r="G19" s="82">
        <v>0.40300000000000002</v>
      </c>
      <c r="H19" s="82">
        <v>0.753</v>
      </c>
      <c r="I19" s="95" t="str">
        <f t="shared" si="0"/>
        <v/>
      </c>
    </row>
    <row r="20" spans="1:9" x14ac:dyDescent="0.2">
      <c r="A20" s="96" t="s">
        <v>23</v>
      </c>
      <c r="B20" s="81">
        <v>0.27</v>
      </c>
      <c r="C20" s="82">
        <v>0.44500000000000001</v>
      </c>
      <c r="D20" s="81">
        <v>0.308</v>
      </c>
      <c r="E20" s="82">
        <v>0.46200000000000002</v>
      </c>
      <c r="F20" s="81">
        <v>0.28899999999999998</v>
      </c>
      <c r="G20" s="82">
        <v>0.45300000000000001</v>
      </c>
      <c r="H20" s="82">
        <v>0.25700000000000001</v>
      </c>
      <c r="I20" s="95" t="str">
        <f t="shared" si="0"/>
        <v/>
      </c>
    </row>
    <row r="21" spans="1:9" x14ac:dyDescent="0.2">
      <c r="A21" s="96" t="s">
        <v>24</v>
      </c>
      <c r="B21" s="81">
        <v>0.20100000000000001</v>
      </c>
      <c r="C21" s="82">
        <v>0.40100000000000002</v>
      </c>
      <c r="D21" s="81">
        <v>0.20499999999999999</v>
      </c>
      <c r="E21" s="82">
        <v>0.40400000000000003</v>
      </c>
      <c r="F21" s="81">
        <v>0.20300000000000001</v>
      </c>
      <c r="G21" s="82">
        <v>0.40300000000000002</v>
      </c>
      <c r="H21" s="82">
        <v>0.89500000000000002</v>
      </c>
      <c r="I21" s="95" t="str">
        <f t="shared" si="0"/>
        <v/>
      </c>
    </row>
    <row r="22" spans="1:9" x14ac:dyDescent="0.2">
      <c r="A22" s="96" t="s">
        <v>25</v>
      </c>
      <c r="B22" s="81">
        <v>0.5</v>
      </c>
      <c r="C22" s="82">
        <v>0.501</v>
      </c>
      <c r="D22" s="81">
        <v>0.46300000000000002</v>
      </c>
      <c r="E22" s="82">
        <v>0.499</v>
      </c>
      <c r="F22" s="81">
        <v>0.48199999999999998</v>
      </c>
      <c r="G22" s="82">
        <v>0.5</v>
      </c>
      <c r="H22" s="82">
        <v>0.311</v>
      </c>
      <c r="I22" s="95" t="str">
        <f t="shared" si="0"/>
        <v/>
      </c>
    </row>
    <row r="23" spans="1:9" x14ac:dyDescent="0.2">
      <c r="A23" s="96" t="s">
        <v>26</v>
      </c>
      <c r="B23" s="81">
        <v>0.43</v>
      </c>
      <c r="C23" s="82">
        <v>0.496</v>
      </c>
      <c r="D23" s="81">
        <v>0.372</v>
      </c>
      <c r="E23" s="82">
        <v>0.48399999999999999</v>
      </c>
      <c r="F23" s="81">
        <v>0.40300000000000002</v>
      </c>
      <c r="G23" s="82">
        <v>0.49099999999999999</v>
      </c>
      <c r="H23" s="82">
        <v>0.14299999999999999</v>
      </c>
      <c r="I23" s="95" t="str">
        <f t="shared" si="0"/>
        <v/>
      </c>
    </row>
    <row r="24" spans="1:9" x14ac:dyDescent="0.2">
      <c r="A24" s="96" t="s">
        <v>28</v>
      </c>
      <c r="B24" s="81">
        <v>0.29399999999999998</v>
      </c>
      <c r="C24" s="82">
        <v>0.45600000000000002</v>
      </c>
      <c r="D24" s="81">
        <v>0.28999999999999998</v>
      </c>
      <c r="E24" s="82">
        <v>0.45500000000000002</v>
      </c>
      <c r="F24" s="81">
        <v>0.29199999999999998</v>
      </c>
      <c r="G24" s="82">
        <v>0.45500000000000002</v>
      </c>
      <c r="H24" s="82">
        <v>0.90400000000000003</v>
      </c>
      <c r="I24" s="95" t="str">
        <f t="shared" si="0"/>
        <v/>
      </c>
    </row>
    <row r="25" spans="1:9" x14ac:dyDescent="0.2">
      <c r="A25" s="96" t="s">
        <v>29</v>
      </c>
      <c r="B25" s="81">
        <v>0.83399999999999996</v>
      </c>
      <c r="C25" s="82">
        <v>0.373</v>
      </c>
      <c r="D25" s="81">
        <v>0.82799999999999996</v>
      </c>
      <c r="E25" s="82">
        <v>0.378</v>
      </c>
      <c r="F25" s="81">
        <v>0.83099999999999996</v>
      </c>
      <c r="G25" s="82">
        <v>0.375</v>
      </c>
      <c r="H25" s="82">
        <v>0.84299999999999997</v>
      </c>
      <c r="I25" s="95" t="str">
        <f t="shared" si="0"/>
        <v/>
      </c>
    </row>
    <row r="26" spans="1:9" x14ac:dyDescent="0.2">
      <c r="A26" s="96" t="s">
        <v>30</v>
      </c>
      <c r="B26" s="81">
        <v>0.74199999999999999</v>
      </c>
      <c r="C26" s="82">
        <v>0.438</v>
      </c>
      <c r="D26" s="81">
        <v>0.74099999999999999</v>
      </c>
      <c r="E26" s="82">
        <v>0.439</v>
      </c>
      <c r="F26" s="81">
        <v>0.74099999999999999</v>
      </c>
      <c r="G26" s="82">
        <v>0.438</v>
      </c>
      <c r="H26" s="82">
        <v>0.97399999999999998</v>
      </c>
      <c r="I26" s="95" t="str">
        <f t="shared" si="0"/>
        <v/>
      </c>
    </row>
    <row r="27" spans="1:9" x14ac:dyDescent="0.2">
      <c r="A27" s="96" t="s">
        <v>31</v>
      </c>
      <c r="B27" s="81">
        <v>9.6000000000000002E-2</v>
      </c>
      <c r="C27" s="82">
        <v>0.29499999999999998</v>
      </c>
      <c r="D27" s="81">
        <v>9.2999999999999999E-2</v>
      </c>
      <c r="E27" s="82">
        <v>0.28999999999999998</v>
      </c>
      <c r="F27" s="81">
        <v>9.4E-2</v>
      </c>
      <c r="G27" s="82">
        <v>0.29299999999999998</v>
      </c>
      <c r="H27" s="82">
        <v>0.871</v>
      </c>
      <c r="I27" s="95" t="str">
        <f t="shared" si="0"/>
        <v/>
      </c>
    </row>
    <row r="28" spans="1:9" x14ac:dyDescent="0.2">
      <c r="A28" s="96" t="s">
        <v>32</v>
      </c>
      <c r="B28" s="81">
        <v>8.5999999999999993E-2</v>
      </c>
      <c r="C28" s="82">
        <v>0.28000000000000003</v>
      </c>
      <c r="D28" s="81">
        <v>6.5000000000000002E-2</v>
      </c>
      <c r="E28" s="82">
        <v>0.248</v>
      </c>
      <c r="F28" s="81">
        <v>7.5999999999999998E-2</v>
      </c>
      <c r="G28" s="82">
        <v>0.26500000000000001</v>
      </c>
      <c r="H28" s="82">
        <v>0.29299999999999998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0.109</v>
      </c>
      <c r="C29" s="100">
        <v>0.312</v>
      </c>
      <c r="D29" s="99">
        <v>8.6999999999999994E-2</v>
      </c>
      <c r="E29" s="100">
        <v>0.28299999999999997</v>
      </c>
      <c r="F29" s="99">
        <v>9.8000000000000004E-2</v>
      </c>
      <c r="G29" s="100">
        <v>0.29799999999999999</v>
      </c>
      <c r="H29" s="100">
        <v>0.314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ED1-3E64-1648-AAF2-60C1585F1D05}">
  <dimension ref="A1:I29"/>
  <sheetViews>
    <sheetView workbookViewId="0">
      <selection activeCell="I3" sqref="A2:I3"/>
    </sheetView>
  </sheetViews>
  <sheetFormatPr baseColWidth="10" defaultColWidth="8.83203125" defaultRowHeight="15" x14ac:dyDescent="0.2"/>
  <cols>
    <col min="1" max="16384" width="8.83203125" style="76"/>
  </cols>
  <sheetData>
    <row r="1" spans="1:9" x14ac:dyDescent="0.2">
      <c r="A1" s="87" t="s">
        <v>40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319</v>
      </c>
      <c r="C4" s="80">
        <v>0.49611</v>
      </c>
      <c r="D4" s="79">
        <v>324</v>
      </c>
      <c r="E4" s="80">
        <v>0.50388999999999995</v>
      </c>
      <c r="F4" s="79">
        <v>643</v>
      </c>
      <c r="G4" s="80">
        <v>1</v>
      </c>
      <c r="H4" s="77"/>
      <c r="I4" s="95"/>
    </row>
    <row r="5" spans="1:9" x14ac:dyDescent="0.2">
      <c r="A5" s="96" t="s">
        <v>7</v>
      </c>
      <c r="B5" s="81">
        <v>0.89</v>
      </c>
      <c r="C5" s="82">
        <v>0.313</v>
      </c>
      <c r="D5" s="81">
        <v>0.91600000000000004</v>
      </c>
      <c r="E5" s="82">
        <v>0.27800000000000002</v>
      </c>
      <c r="F5" s="81">
        <v>0.90300000000000002</v>
      </c>
      <c r="G5" s="82">
        <v>0.29599999999999999</v>
      </c>
      <c r="H5" s="82">
        <v>0.26900000000000002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0.89300000000000002</v>
      </c>
      <c r="C6" s="82">
        <v>0.309</v>
      </c>
      <c r="D6" s="81">
        <v>0.90400000000000003</v>
      </c>
      <c r="E6" s="82">
        <v>0.29499999999999998</v>
      </c>
      <c r="F6" s="81">
        <v>0.89900000000000002</v>
      </c>
      <c r="G6" s="82">
        <v>0.30199999999999999</v>
      </c>
      <c r="H6" s="82">
        <v>0.65700000000000003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7" t="s">
        <v>9</v>
      </c>
      <c r="B7" s="83">
        <v>0.94899999999999995</v>
      </c>
      <c r="C7" s="84">
        <v>0.22</v>
      </c>
      <c r="D7" s="83">
        <v>0.97499999999999998</v>
      </c>
      <c r="E7" s="84">
        <v>0.157</v>
      </c>
      <c r="F7" s="83">
        <v>0.96199999999999997</v>
      </c>
      <c r="G7" s="84">
        <v>0.191</v>
      </c>
      <c r="H7" s="84">
        <v>0.09</v>
      </c>
      <c r="I7" s="95" t="str">
        <f t="shared" si="0"/>
        <v>*</v>
      </c>
    </row>
    <row r="8" spans="1:9" x14ac:dyDescent="0.2">
      <c r="A8" s="96" t="s">
        <v>10</v>
      </c>
      <c r="B8" s="81">
        <v>0.16900000000000001</v>
      </c>
      <c r="C8" s="82">
        <v>0.376</v>
      </c>
      <c r="D8" s="81">
        <v>0.17299999999999999</v>
      </c>
      <c r="E8" s="82">
        <v>0.379</v>
      </c>
      <c r="F8" s="81">
        <v>0.17100000000000001</v>
      </c>
      <c r="G8" s="82">
        <v>0.377</v>
      </c>
      <c r="H8" s="82">
        <v>0.89100000000000001</v>
      </c>
      <c r="I8" s="95" t="str">
        <f t="shared" si="0"/>
        <v/>
      </c>
    </row>
    <row r="9" spans="1:9" x14ac:dyDescent="0.2">
      <c r="A9" s="96" t="s">
        <v>11</v>
      </c>
      <c r="B9" s="81">
        <v>0.96499999999999997</v>
      </c>
      <c r="C9" s="82">
        <v>0.183</v>
      </c>
      <c r="D9" s="81">
        <v>0.95899999999999996</v>
      </c>
      <c r="E9" s="82">
        <v>0.19800000000000001</v>
      </c>
      <c r="F9" s="81">
        <v>0.96199999999999997</v>
      </c>
      <c r="G9" s="82">
        <v>0.191</v>
      </c>
      <c r="H9" s="82">
        <v>0.68400000000000005</v>
      </c>
      <c r="I9" s="95" t="str">
        <f t="shared" si="0"/>
        <v/>
      </c>
    </row>
    <row r="10" spans="1:9" x14ac:dyDescent="0.2">
      <c r="A10" s="96" t="s">
        <v>12</v>
      </c>
      <c r="B10" s="81">
        <v>0.96199999999999997</v>
      </c>
      <c r="C10" s="82">
        <v>0.191</v>
      </c>
      <c r="D10" s="81">
        <v>0.96599999999999997</v>
      </c>
      <c r="E10" s="82">
        <v>0.182</v>
      </c>
      <c r="F10" s="81">
        <v>0.96399999999999997</v>
      </c>
      <c r="G10" s="82">
        <v>0.187</v>
      </c>
      <c r="H10" s="82">
        <v>0.81399999999999995</v>
      </c>
      <c r="I10" s="95" t="str">
        <f t="shared" si="0"/>
        <v/>
      </c>
    </row>
    <row r="11" spans="1:9" x14ac:dyDescent="0.2">
      <c r="A11" s="96" t="s">
        <v>13</v>
      </c>
      <c r="B11" s="81">
        <v>0.95</v>
      </c>
      <c r="C11" s="82">
        <v>0.219</v>
      </c>
      <c r="D11" s="81">
        <v>0.97199999999999998</v>
      </c>
      <c r="E11" s="82">
        <v>0.16600000000000001</v>
      </c>
      <c r="F11" s="81">
        <v>0.96099999999999997</v>
      </c>
      <c r="G11" s="82">
        <v>0.19400000000000001</v>
      </c>
      <c r="H11" s="82">
        <v>0.154</v>
      </c>
      <c r="I11" s="95" t="str">
        <f t="shared" si="0"/>
        <v/>
      </c>
    </row>
    <row r="12" spans="1:9" x14ac:dyDescent="0.2">
      <c r="A12" s="97" t="s">
        <v>14</v>
      </c>
      <c r="B12" s="83">
        <v>0.91200000000000003</v>
      </c>
      <c r="C12" s="84">
        <v>0.28399999999999997</v>
      </c>
      <c r="D12" s="83">
        <v>0.94699999999999995</v>
      </c>
      <c r="E12" s="84">
        <v>0.224</v>
      </c>
      <c r="F12" s="83">
        <v>0.93</v>
      </c>
      <c r="G12" s="84">
        <v>0.25600000000000001</v>
      </c>
      <c r="H12" s="84">
        <v>8.3000000000000004E-2</v>
      </c>
      <c r="I12" s="95" t="str">
        <f t="shared" si="0"/>
        <v>*</v>
      </c>
    </row>
    <row r="13" spans="1:9" x14ac:dyDescent="0.2">
      <c r="A13" s="96" t="s">
        <v>15</v>
      </c>
      <c r="B13" s="81">
        <v>0.20799999999999999</v>
      </c>
      <c r="C13" s="82">
        <v>0.40600000000000003</v>
      </c>
      <c r="D13" s="81">
        <v>0.20399999999999999</v>
      </c>
      <c r="E13" s="82">
        <v>0.40400000000000003</v>
      </c>
      <c r="F13" s="81">
        <v>0.20599999999999999</v>
      </c>
      <c r="G13" s="82">
        <v>0.40500000000000003</v>
      </c>
      <c r="H13" s="82">
        <v>0.92</v>
      </c>
      <c r="I13" s="95" t="str">
        <f t="shared" si="0"/>
        <v/>
      </c>
    </row>
    <row r="14" spans="1:9" x14ac:dyDescent="0.2">
      <c r="A14" s="96" t="s">
        <v>16</v>
      </c>
      <c r="B14" s="81">
        <v>0.94199999999999995</v>
      </c>
      <c r="C14" s="82">
        <v>0.23400000000000001</v>
      </c>
      <c r="D14" s="81">
        <v>0.96799999999999997</v>
      </c>
      <c r="E14" s="82">
        <v>0.17599999999999999</v>
      </c>
      <c r="F14" s="81">
        <v>0.95499999999999996</v>
      </c>
      <c r="G14" s="82">
        <v>0.20699999999999999</v>
      </c>
      <c r="H14" s="82">
        <v>0.11799999999999999</v>
      </c>
      <c r="I14" s="95" t="str">
        <f t="shared" si="0"/>
        <v/>
      </c>
    </row>
    <row r="15" spans="1:9" x14ac:dyDescent="0.2">
      <c r="A15" s="96" t="s">
        <v>17</v>
      </c>
      <c r="B15" s="81">
        <v>0.85599999999999998</v>
      </c>
      <c r="C15" s="82">
        <v>0.35199999999999998</v>
      </c>
      <c r="D15" s="81">
        <v>0.872</v>
      </c>
      <c r="E15" s="82">
        <v>0.33400000000000002</v>
      </c>
      <c r="F15" s="81">
        <v>0.86399999999999999</v>
      </c>
      <c r="G15" s="82">
        <v>0.34300000000000003</v>
      </c>
      <c r="H15" s="82">
        <v>0.55000000000000004</v>
      </c>
      <c r="I15" s="95" t="str">
        <f t="shared" si="0"/>
        <v/>
      </c>
    </row>
    <row r="16" spans="1:9" x14ac:dyDescent="0.2">
      <c r="A16" s="96" t="s">
        <v>18</v>
      </c>
      <c r="B16" s="81">
        <v>0.96099999999999997</v>
      </c>
      <c r="C16" s="82">
        <v>0.193</v>
      </c>
      <c r="D16" s="81">
        <v>0.96799999999999997</v>
      </c>
      <c r="E16" s="82">
        <v>0.17599999999999999</v>
      </c>
      <c r="F16" s="81">
        <v>0.96499999999999997</v>
      </c>
      <c r="G16" s="82">
        <v>0.184</v>
      </c>
      <c r="H16" s="82">
        <v>0.64800000000000002</v>
      </c>
      <c r="I16" s="95" t="str">
        <f t="shared" si="0"/>
        <v/>
      </c>
    </row>
    <row r="17" spans="1:9" x14ac:dyDescent="0.2">
      <c r="A17" s="96" t="s">
        <v>19</v>
      </c>
      <c r="B17" s="81">
        <v>0.82799999999999996</v>
      </c>
      <c r="C17" s="82">
        <v>0.378</v>
      </c>
      <c r="D17" s="81">
        <v>0.81499999999999995</v>
      </c>
      <c r="E17" s="82">
        <v>0.38900000000000001</v>
      </c>
      <c r="F17" s="81">
        <v>0.82099999999999995</v>
      </c>
      <c r="G17" s="82">
        <v>0.38400000000000001</v>
      </c>
      <c r="H17" s="82">
        <v>0.67300000000000004</v>
      </c>
      <c r="I17" s="95" t="str">
        <f t="shared" si="0"/>
        <v/>
      </c>
    </row>
    <row r="18" spans="1:9" x14ac:dyDescent="0.2">
      <c r="A18" s="97" t="s">
        <v>20</v>
      </c>
      <c r="B18" s="83">
        <v>0.502</v>
      </c>
      <c r="C18" s="84">
        <v>0.501</v>
      </c>
      <c r="D18" s="83">
        <v>0.42899999999999999</v>
      </c>
      <c r="E18" s="84">
        <v>0.496</v>
      </c>
      <c r="F18" s="83">
        <v>0.46500000000000002</v>
      </c>
      <c r="G18" s="84">
        <v>0.499</v>
      </c>
      <c r="H18" s="84">
        <v>6.5000000000000002E-2</v>
      </c>
      <c r="I18" s="95" t="str">
        <f t="shared" si="0"/>
        <v>*</v>
      </c>
    </row>
    <row r="19" spans="1:9" x14ac:dyDescent="0.2">
      <c r="A19" s="96" t="s">
        <v>22</v>
      </c>
      <c r="B19" s="81">
        <v>0.77100000000000002</v>
      </c>
      <c r="C19" s="82">
        <v>0.42099999999999999</v>
      </c>
      <c r="D19" s="81">
        <v>0.71599999999999997</v>
      </c>
      <c r="E19" s="82">
        <v>0.45200000000000001</v>
      </c>
      <c r="F19" s="81">
        <v>0.74299999999999999</v>
      </c>
      <c r="G19" s="82">
        <v>0.437</v>
      </c>
      <c r="H19" s="82">
        <v>0.11</v>
      </c>
      <c r="I19" s="95" t="str">
        <f t="shared" si="0"/>
        <v/>
      </c>
    </row>
    <row r="20" spans="1:9" x14ac:dyDescent="0.2">
      <c r="A20" s="96" t="s">
        <v>23</v>
      </c>
      <c r="B20" s="81">
        <v>0.53900000000000003</v>
      </c>
      <c r="C20" s="82">
        <v>0.499</v>
      </c>
      <c r="D20" s="81">
        <v>0.57399999999999995</v>
      </c>
      <c r="E20" s="82">
        <v>0.495</v>
      </c>
      <c r="F20" s="81">
        <v>0.55700000000000005</v>
      </c>
      <c r="G20" s="82">
        <v>0.497</v>
      </c>
      <c r="H20" s="82">
        <v>0.374</v>
      </c>
      <c r="I20" s="95" t="str">
        <f t="shared" si="0"/>
        <v/>
      </c>
    </row>
    <row r="21" spans="1:9" x14ac:dyDescent="0.2">
      <c r="A21" s="96" t="s">
        <v>24</v>
      </c>
      <c r="B21" s="81">
        <v>0.498</v>
      </c>
      <c r="C21" s="82">
        <v>0.501</v>
      </c>
      <c r="D21" s="81">
        <v>0.53700000000000003</v>
      </c>
      <c r="E21" s="82">
        <v>0.499</v>
      </c>
      <c r="F21" s="81">
        <v>0.51800000000000002</v>
      </c>
      <c r="G21" s="82">
        <v>0.5</v>
      </c>
      <c r="H21" s="82">
        <v>0.32800000000000001</v>
      </c>
      <c r="I21" s="95" t="str">
        <f t="shared" si="0"/>
        <v/>
      </c>
    </row>
    <row r="22" spans="1:9" x14ac:dyDescent="0.2">
      <c r="A22" s="96" t="s">
        <v>25</v>
      </c>
      <c r="B22" s="81">
        <v>0.317</v>
      </c>
      <c r="C22" s="82">
        <v>0.46600000000000003</v>
      </c>
      <c r="D22" s="81">
        <v>0.27500000000000002</v>
      </c>
      <c r="E22" s="82">
        <v>0.44700000000000001</v>
      </c>
      <c r="F22" s="81">
        <v>0.29499999999999998</v>
      </c>
      <c r="G22" s="82">
        <v>0.45700000000000002</v>
      </c>
      <c r="H22" s="82">
        <v>0.245</v>
      </c>
      <c r="I22" s="95" t="str">
        <f t="shared" si="0"/>
        <v/>
      </c>
    </row>
    <row r="23" spans="1:9" x14ac:dyDescent="0.2">
      <c r="A23" s="96" t="s">
        <v>26</v>
      </c>
      <c r="B23" s="81">
        <v>0.251</v>
      </c>
      <c r="C23" s="82">
        <v>0.434</v>
      </c>
      <c r="D23" s="81">
        <v>0.22800000000000001</v>
      </c>
      <c r="E23" s="82">
        <v>0.42</v>
      </c>
      <c r="F23" s="81">
        <v>0.23899999999999999</v>
      </c>
      <c r="G23" s="82">
        <v>0.42699999999999999</v>
      </c>
      <c r="H23" s="82">
        <v>0.52600000000000002</v>
      </c>
      <c r="I23" s="95" t="str">
        <f t="shared" si="0"/>
        <v/>
      </c>
    </row>
    <row r="24" spans="1:9" x14ac:dyDescent="0.2">
      <c r="A24" s="96" t="s">
        <v>28</v>
      </c>
      <c r="B24" s="81">
        <v>0.36599999999999999</v>
      </c>
      <c r="C24" s="82">
        <v>0.48199999999999998</v>
      </c>
      <c r="D24" s="81">
        <v>0.36799999999999999</v>
      </c>
      <c r="E24" s="82">
        <v>0.48299999999999998</v>
      </c>
      <c r="F24" s="81">
        <v>0.36699999999999999</v>
      </c>
      <c r="G24" s="82">
        <v>0.48199999999999998</v>
      </c>
      <c r="H24" s="82">
        <v>0.96499999999999997</v>
      </c>
      <c r="I24" s="95" t="str">
        <f t="shared" si="0"/>
        <v/>
      </c>
    </row>
    <row r="25" spans="1:9" x14ac:dyDescent="0.2">
      <c r="A25" s="96" t="s">
        <v>29</v>
      </c>
      <c r="B25" s="81">
        <v>0.73299999999999998</v>
      </c>
      <c r="C25" s="82">
        <v>0.443</v>
      </c>
      <c r="D25" s="81">
        <v>0.751</v>
      </c>
      <c r="E25" s="82">
        <v>0.433</v>
      </c>
      <c r="F25" s="81">
        <v>0.74199999999999999</v>
      </c>
      <c r="G25" s="82">
        <v>0.438</v>
      </c>
      <c r="H25" s="82">
        <v>0.61699999999999999</v>
      </c>
      <c r="I25" s="95" t="str">
        <f t="shared" si="0"/>
        <v/>
      </c>
    </row>
    <row r="26" spans="1:9" x14ac:dyDescent="0.2">
      <c r="A26" s="96" t="s">
        <v>30</v>
      </c>
      <c r="B26" s="81">
        <v>0.85799999999999998</v>
      </c>
      <c r="C26" s="82">
        <v>0.35</v>
      </c>
      <c r="D26" s="81">
        <v>0.873</v>
      </c>
      <c r="E26" s="82">
        <v>0.33300000000000002</v>
      </c>
      <c r="F26" s="81">
        <v>0.86599999999999999</v>
      </c>
      <c r="G26" s="82">
        <v>0.34100000000000003</v>
      </c>
      <c r="H26" s="82">
        <v>0.57799999999999996</v>
      </c>
      <c r="I26" s="95" t="str">
        <f t="shared" si="0"/>
        <v/>
      </c>
    </row>
    <row r="27" spans="1:9" x14ac:dyDescent="0.2">
      <c r="A27" s="96" t="s">
        <v>31</v>
      </c>
      <c r="B27" s="81">
        <v>0.19500000000000001</v>
      </c>
      <c r="C27" s="82">
        <v>0.39700000000000002</v>
      </c>
      <c r="D27" s="81">
        <v>0.157</v>
      </c>
      <c r="E27" s="82">
        <v>0.36499999999999999</v>
      </c>
      <c r="F27" s="81">
        <v>0.17599999999999999</v>
      </c>
      <c r="G27" s="82">
        <v>0.38100000000000001</v>
      </c>
      <c r="H27" s="82">
        <v>0.21199999999999999</v>
      </c>
      <c r="I27" s="95" t="str">
        <f t="shared" si="0"/>
        <v/>
      </c>
    </row>
    <row r="28" spans="1:9" x14ac:dyDescent="0.2">
      <c r="A28" s="96" t="s">
        <v>32</v>
      </c>
      <c r="B28" s="81">
        <v>0.129</v>
      </c>
      <c r="C28" s="82">
        <v>0.33600000000000002</v>
      </c>
      <c r="D28" s="81">
        <v>0.114</v>
      </c>
      <c r="E28" s="82">
        <v>0.31900000000000001</v>
      </c>
      <c r="F28" s="81">
        <v>0.121</v>
      </c>
      <c r="G28" s="82">
        <v>0.32700000000000001</v>
      </c>
      <c r="H28" s="82">
        <v>0.56899999999999995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0.17899999999999999</v>
      </c>
      <c r="C29" s="100">
        <v>0.38400000000000001</v>
      </c>
      <c r="D29" s="99">
        <v>0.14099999999999999</v>
      </c>
      <c r="E29" s="100">
        <v>0.34899999999999998</v>
      </c>
      <c r="F29" s="99">
        <v>0.16</v>
      </c>
      <c r="G29" s="100">
        <v>0.36699999999999999</v>
      </c>
      <c r="H29" s="100">
        <v>0.19500000000000001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3691-92A0-4446-ABD2-12CA6EA6952C}">
  <dimension ref="A1:I29"/>
  <sheetViews>
    <sheetView workbookViewId="0">
      <selection activeCell="A2" sqref="A2:I3"/>
    </sheetView>
  </sheetViews>
  <sheetFormatPr baseColWidth="10" defaultColWidth="8.83203125" defaultRowHeight="15" x14ac:dyDescent="0.2"/>
  <cols>
    <col min="1" max="16384" width="8.83203125" style="76"/>
  </cols>
  <sheetData>
    <row r="1" spans="1:9" x14ac:dyDescent="0.2">
      <c r="A1" s="87" t="s">
        <v>36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328</v>
      </c>
      <c r="C4" s="80">
        <v>0.49471999999999999</v>
      </c>
      <c r="D4" s="79">
        <v>335</v>
      </c>
      <c r="E4" s="80">
        <v>0.50527999999999995</v>
      </c>
      <c r="F4" s="79">
        <v>663</v>
      </c>
      <c r="G4" s="80">
        <v>1</v>
      </c>
      <c r="H4" s="77"/>
      <c r="I4" s="95"/>
    </row>
    <row r="5" spans="1:9" x14ac:dyDescent="0.2">
      <c r="A5" s="96" t="s">
        <v>7</v>
      </c>
      <c r="B5" s="81">
        <v>0.91500000000000004</v>
      </c>
      <c r="C5" s="82">
        <v>0.28000000000000003</v>
      </c>
      <c r="D5" s="81">
        <v>0.94599999999999995</v>
      </c>
      <c r="E5" s="82">
        <v>0.22600000000000001</v>
      </c>
      <c r="F5" s="81">
        <v>0.93100000000000005</v>
      </c>
      <c r="G5" s="82">
        <v>0.254</v>
      </c>
      <c r="H5" s="82">
        <v>0.109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0.90900000000000003</v>
      </c>
      <c r="C6" s="82">
        <v>0.28899999999999998</v>
      </c>
      <c r="D6" s="81">
        <v>0.91600000000000004</v>
      </c>
      <c r="E6" s="82">
        <v>0.27700000000000002</v>
      </c>
      <c r="F6" s="81">
        <v>0.91300000000000003</v>
      </c>
      <c r="G6" s="82">
        <v>0.28299999999999997</v>
      </c>
      <c r="H6" s="82">
        <v>0.72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6" t="s">
        <v>9</v>
      </c>
      <c r="B7" s="81">
        <v>0.97</v>
      </c>
      <c r="C7" s="82">
        <v>0.17199999999999999</v>
      </c>
      <c r="D7" s="81">
        <v>0.95199999999999996</v>
      </c>
      <c r="E7" s="82">
        <v>0.214</v>
      </c>
      <c r="F7" s="81">
        <v>0.96099999999999997</v>
      </c>
      <c r="G7" s="82">
        <v>0.19400000000000001</v>
      </c>
      <c r="H7" s="82">
        <v>0.253</v>
      </c>
      <c r="I7" s="95" t="str">
        <f t="shared" si="0"/>
        <v/>
      </c>
    </row>
    <row r="8" spans="1:9" x14ac:dyDescent="0.2">
      <c r="A8" s="96" t="s">
        <v>10</v>
      </c>
      <c r="B8" s="81">
        <v>0.28000000000000003</v>
      </c>
      <c r="C8" s="82">
        <v>0.45</v>
      </c>
      <c r="D8" s="81">
        <v>0.24199999999999999</v>
      </c>
      <c r="E8" s="82">
        <v>0.42899999999999999</v>
      </c>
      <c r="F8" s="81">
        <v>0.26100000000000001</v>
      </c>
      <c r="G8" s="82">
        <v>0.439</v>
      </c>
      <c r="H8" s="82">
        <v>0.25700000000000001</v>
      </c>
      <c r="I8" s="95" t="str">
        <f t="shared" si="0"/>
        <v/>
      </c>
    </row>
    <row r="9" spans="1:9" x14ac:dyDescent="0.2">
      <c r="A9" s="96" t="s">
        <v>11</v>
      </c>
      <c r="B9" s="81">
        <v>0.93</v>
      </c>
      <c r="C9" s="82">
        <v>0.25600000000000001</v>
      </c>
      <c r="D9" s="81">
        <v>0.91</v>
      </c>
      <c r="E9" s="82">
        <v>0.28599999999999998</v>
      </c>
      <c r="F9" s="81">
        <v>0.92</v>
      </c>
      <c r="G9" s="82">
        <v>0.27100000000000002</v>
      </c>
      <c r="H9" s="82">
        <v>0.35699999999999998</v>
      </c>
      <c r="I9" s="95" t="str">
        <f t="shared" si="0"/>
        <v/>
      </c>
    </row>
    <row r="10" spans="1:9" x14ac:dyDescent="0.2">
      <c r="A10" s="96" t="s">
        <v>12</v>
      </c>
      <c r="B10" s="81">
        <v>0.72899999999999998</v>
      </c>
      <c r="C10" s="82">
        <v>0.44500000000000001</v>
      </c>
      <c r="D10" s="81">
        <v>0.69599999999999995</v>
      </c>
      <c r="E10" s="82">
        <v>0.46100000000000002</v>
      </c>
      <c r="F10" s="81">
        <v>0.71199999999999997</v>
      </c>
      <c r="G10" s="82">
        <v>0.45300000000000001</v>
      </c>
      <c r="H10" s="82">
        <v>0.34699999999999998</v>
      </c>
      <c r="I10" s="95" t="str">
        <f t="shared" si="0"/>
        <v/>
      </c>
    </row>
    <row r="11" spans="1:9" x14ac:dyDescent="0.2">
      <c r="A11" s="96" t="s">
        <v>13</v>
      </c>
      <c r="B11" s="81">
        <v>0.95699999999999996</v>
      </c>
      <c r="C11" s="82">
        <v>0.20200000000000001</v>
      </c>
      <c r="D11" s="81">
        <v>0.97899999999999998</v>
      </c>
      <c r="E11" s="82">
        <v>0.14299999999999999</v>
      </c>
      <c r="F11" s="81">
        <v>0.96799999999999997</v>
      </c>
      <c r="G11" s="82">
        <v>0.17499999999999999</v>
      </c>
      <c r="H11" s="82">
        <v>0.11</v>
      </c>
      <c r="I11" s="95" t="str">
        <f t="shared" si="0"/>
        <v/>
      </c>
    </row>
    <row r="12" spans="1:9" x14ac:dyDescent="0.2">
      <c r="A12" s="96" t="s">
        <v>14</v>
      </c>
      <c r="B12" s="81">
        <v>0.96</v>
      </c>
      <c r="C12" s="82">
        <v>0.19500000000000001</v>
      </c>
      <c r="D12" s="81">
        <v>0.97299999999999998</v>
      </c>
      <c r="E12" s="82">
        <v>0.16200000000000001</v>
      </c>
      <c r="F12" s="81">
        <v>0.96699999999999997</v>
      </c>
      <c r="G12" s="82">
        <v>0.17899999999999999</v>
      </c>
      <c r="H12" s="82">
        <v>0.36</v>
      </c>
      <c r="I12" s="95" t="str">
        <f>IF(H12&gt;0.1,"",
   IF(AND(H12&lt;=0.1,H12&gt;0.05),"*",
      IF(AND(H12&lt;=0.05,H12&gt;0.01),"**",
         IF(H12&lt;=0.01,"***",""))))</f>
        <v/>
      </c>
    </row>
    <row r="13" spans="1:9" x14ac:dyDescent="0.2">
      <c r="A13" s="96" t="s">
        <v>15</v>
      </c>
      <c r="B13" s="81">
        <v>0.21299999999999999</v>
      </c>
      <c r="C13" s="82">
        <v>0.41</v>
      </c>
      <c r="D13" s="81">
        <v>0.191</v>
      </c>
      <c r="E13" s="82">
        <v>0.39400000000000002</v>
      </c>
      <c r="F13" s="81">
        <v>0.20200000000000001</v>
      </c>
      <c r="G13" s="82">
        <v>0.40200000000000002</v>
      </c>
      <c r="H13" s="82">
        <v>0.47399999999999998</v>
      </c>
      <c r="I13" s="95" t="str">
        <f t="shared" si="0"/>
        <v/>
      </c>
    </row>
    <row r="14" spans="1:9" x14ac:dyDescent="0.2">
      <c r="A14" s="96" t="s">
        <v>16</v>
      </c>
      <c r="B14" s="81">
        <v>0.95599999999999996</v>
      </c>
      <c r="C14" s="82">
        <v>0.20499999999999999</v>
      </c>
      <c r="D14" s="81">
        <v>0.96899999999999997</v>
      </c>
      <c r="E14" s="82">
        <v>0.17399999999999999</v>
      </c>
      <c r="F14" s="81">
        <v>0.96199999999999997</v>
      </c>
      <c r="G14" s="82">
        <v>0.19</v>
      </c>
      <c r="H14" s="82">
        <v>0.42699999999999999</v>
      </c>
      <c r="I14" s="95" t="str">
        <f t="shared" si="0"/>
        <v/>
      </c>
    </row>
    <row r="15" spans="1:9" x14ac:dyDescent="0.2">
      <c r="A15" s="96" t="s">
        <v>17</v>
      </c>
      <c r="B15" s="81">
        <v>0.85399999999999998</v>
      </c>
      <c r="C15" s="82">
        <v>0.35399999999999998</v>
      </c>
      <c r="D15" s="81">
        <v>0.873</v>
      </c>
      <c r="E15" s="82">
        <v>0.33300000000000002</v>
      </c>
      <c r="F15" s="81">
        <v>0.86299999999999999</v>
      </c>
      <c r="G15" s="82">
        <v>0.34399999999999997</v>
      </c>
      <c r="H15" s="82">
        <v>0.496</v>
      </c>
      <c r="I15" s="95" t="str">
        <f t="shared" si="0"/>
        <v/>
      </c>
    </row>
    <row r="16" spans="1:9" x14ac:dyDescent="0.2">
      <c r="A16" s="96" t="s">
        <v>18</v>
      </c>
      <c r="B16" s="81">
        <v>0.98299999999999998</v>
      </c>
      <c r="C16" s="82">
        <v>0.13</v>
      </c>
      <c r="D16" s="81">
        <v>0.97199999999999998</v>
      </c>
      <c r="E16" s="82">
        <v>0.16500000000000001</v>
      </c>
      <c r="F16" s="81">
        <v>0.97799999999999998</v>
      </c>
      <c r="G16" s="82">
        <v>0.14799999999999999</v>
      </c>
      <c r="H16" s="82">
        <v>0.38700000000000001</v>
      </c>
      <c r="I16" s="95" t="str">
        <f t="shared" si="0"/>
        <v/>
      </c>
    </row>
    <row r="17" spans="1:9" x14ac:dyDescent="0.2">
      <c r="A17" s="96" t="s">
        <v>19</v>
      </c>
      <c r="B17" s="81">
        <v>0.94499999999999995</v>
      </c>
      <c r="C17" s="82">
        <v>0.22800000000000001</v>
      </c>
      <c r="D17" s="81">
        <v>0.92500000000000004</v>
      </c>
      <c r="E17" s="82">
        <v>0.26300000000000001</v>
      </c>
      <c r="F17" s="81">
        <v>0.93500000000000005</v>
      </c>
      <c r="G17" s="82">
        <v>0.246</v>
      </c>
      <c r="H17" s="82">
        <v>0.30299999999999999</v>
      </c>
      <c r="I17" s="95" t="str">
        <f t="shared" si="0"/>
        <v/>
      </c>
    </row>
    <row r="18" spans="1:9" x14ac:dyDescent="0.2">
      <c r="A18" s="96" t="s">
        <v>20</v>
      </c>
      <c r="B18" s="81">
        <v>0.46600000000000003</v>
      </c>
      <c r="C18" s="82">
        <v>0.5</v>
      </c>
      <c r="D18" s="81">
        <v>0.49299999999999999</v>
      </c>
      <c r="E18" s="82">
        <v>0.501</v>
      </c>
      <c r="F18" s="81">
        <v>0.48</v>
      </c>
      <c r="G18" s="82">
        <v>0.5</v>
      </c>
      <c r="H18" s="82">
        <v>0.502</v>
      </c>
      <c r="I18" s="95" t="str">
        <f t="shared" si="0"/>
        <v/>
      </c>
    </row>
    <row r="19" spans="1:9" x14ac:dyDescent="0.2">
      <c r="A19" s="96" t="s">
        <v>22</v>
      </c>
      <c r="B19" s="81">
        <v>0.74099999999999999</v>
      </c>
      <c r="C19" s="82">
        <v>0.439</v>
      </c>
      <c r="D19" s="81">
        <v>0.752</v>
      </c>
      <c r="E19" s="82">
        <v>0.432</v>
      </c>
      <c r="F19" s="81">
        <v>0.747</v>
      </c>
      <c r="G19" s="82">
        <v>0.435</v>
      </c>
      <c r="H19" s="82">
        <v>0.73699999999999999</v>
      </c>
      <c r="I19" s="95" t="str">
        <f t="shared" si="0"/>
        <v/>
      </c>
    </row>
    <row r="20" spans="1:9" x14ac:dyDescent="0.2">
      <c r="A20" s="97" t="s">
        <v>23</v>
      </c>
      <c r="B20" s="83">
        <v>0.49099999999999999</v>
      </c>
      <c r="C20" s="84">
        <v>0.501</v>
      </c>
      <c r="D20" s="83">
        <v>0.56999999999999995</v>
      </c>
      <c r="E20" s="84">
        <v>0.496</v>
      </c>
      <c r="F20" s="83">
        <v>0.53100000000000003</v>
      </c>
      <c r="G20" s="84">
        <v>0.499</v>
      </c>
      <c r="H20" s="84">
        <v>4.1000000000000002E-2</v>
      </c>
      <c r="I20" s="95" t="str">
        <f t="shared" si="0"/>
        <v>**</v>
      </c>
    </row>
    <row r="21" spans="1:9" x14ac:dyDescent="0.2">
      <c r="A21" s="96" t="s">
        <v>24</v>
      </c>
      <c r="B21" s="81">
        <v>0.5</v>
      </c>
      <c r="C21" s="82">
        <v>0.501</v>
      </c>
      <c r="D21" s="81">
        <v>0.55200000000000005</v>
      </c>
      <c r="E21" s="82">
        <v>0.498</v>
      </c>
      <c r="F21" s="81">
        <v>0.52600000000000002</v>
      </c>
      <c r="G21" s="82">
        <v>0.5</v>
      </c>
      <c r="H21" s="82">
        <v>0.17899999999999999</v>
      </c>
      <c r="I21" s="95" t="str">
        <f t="shared" si="0"/>
        <v/>
      </c>
    </row>
    <row r="22" spans="1:9" x14ac:dyDescent="0.2">
      <c r="A22" s="96" t="s">
        <v>25</v>
      </c>
      <c r="B22" s="81">
        <v>0.317</v>
      </c>
      <c r="C22" s="82">
        <v>0.46600000000000003</v>
      </c>
      <c r="D22" s="81">
        <v>0.27200000000000002</v>
      </c>
      <c r="E22" s="82">
        <v>0.44500000000000001</v>
      </c>
      <c r="F22" s="81">
        <v>0.29399999999999998</v>
      </c>
      <c r="G22" s="82">
        <v>0.45600000000000002</v>
      </c>
      <c r="H22" s="82">
        <v>0.2</v>
      </c>
      <c r="I22" s="95" t="str">
        <f t="shared" si="0"/>
        <v/>
      </c>
    </row>
    <row r="23" spans="1:9" x14ac:dyDescent="0.2">
      <c r="A23" s="96" t="s">
        <v>26</v>
      </c>
      <c r="B23" s="81">
        <v>0.48799999999999999</v>
      </c>
      <c r="C23" s="82">
        <v>0.501</v>
      </c>
      <c r="D23" s="81">
        <v>0.47199999999999998</v>
      </c>
      <c r="E23" s="82">
        <v>0.5</v>
      </c>
      <c r="F23" s="81">
        <v>0.48</v>
      </c>
      <c r="G23" s="82">
        <v>0.5</v>
      </c>
      <c r="H23" s="82">
        <v>0.71399999999999997</v>
      </c>
      <c r="I23" s="95" t="str">
        <f t="shared" si="0"/>
        <v/>
      </c>
    </row>
    <row r="24" spans="1:9" x14ac:dyDescent="0.2">
      <c r="A24" s="96" t="s">
        <v>28</v>
      </c>
      <c r="B24" s="81">
        <v>0.39</v>
      </c>
      <c r="C24" s="82">
        <v>0.48899999999999999</v>
      </c>
      <c r="D24" s="81">
        <v>0.36399999999999999</v>
      </c>
      <c r="E24" s="82">
        <v>0.48199999999999998</v>
      </c>
      <c r="F24" s="81">
        <v>0.377</v>
      </c>
      <c r="G24" s="82">
        <v>0.48499999999999999</v>
      </c>
      <c r="H24" s="82">
        <v>0.48899999999999999</v>
      </c>
      <c r="I24" s="95" t="str">
        <f t="shared" si="0"/>
        <v/>
      </c>
    </row>
    <row r="25" spans="1:9" x14ac:dyDescent="0.2">
      <c r="A25" s="96" t="s">
        <v>29</v>
      </c>
      <c r="B25" s="81">
        <v>0.79900000000000004</v>
      </c>
      <c r="C25" s="82">
        <v>0.40200000000000002</v>
      </c>
      <c r="D25" s="81">
        <v>0.84199999999999997</v>
      </c>
      <c r="E25" s="82">
        <v>0.36499999999999999</v>
      </c>
      <c r="F25" s="81">
        <v>0.82099999999999995</v>
      </c>
      <c r="G25" s="82">
        <v>0.38400000000000001</v>
      </c>
      <c r="H25" s="82">
        <v>0.15</v>
      </c>
      <c r="I25" s="95" t="str">
        <f t="shared" si="0"/>
        <v/>
      </c>
    </row>
    <row r="26" spans="1:9" x14ac:dyDescent="0.2">
      <c r="A26" s="96" t="s">
        <v>30</v>
      </c>
      <c r="B26" s="81">
        <v>0.76500000000000001</v>
      </c>
      <c r="C26" s="82">
        <v>0.42399999999999999</v>
      </c>
      <c r="D26" s="81">
        <v>0.74</v>
      </c>
      <c r="E26" s="82">
        <v>0.439</v>
      </c>
      <c r="F26" s="81">
        <v>0.753</v>
      </c>
      <c r="G26" s="82">
        <v>0.432</v>
      </c>
      <c r="H26" s="82">
        <v>0.45700000000000002</v>
      </c>
      <c r="I26" s="95" t="str">
        <f t="shared" si="0"/>
        <v/>
      </c>
    </row>
    <row r="27" spans="1:9" x14ac:dyDescent="0.2">
      <c r="A27" s="97" t="s">
        <v>31</v>
      </c>
      <c r="B27" s="83">
        <v>0.27400000000000002</v>
      </c>
      <c r="C27" s="84">
        <v>0.44700000000000001</v>
      </c>
      <c r="D27" s="83">
        <v>0.218</v>
      </c>
      <c r="E27" s="84">
        <v>0.41299999999999998</v>
      </c>
      <c r="F27" s="83">
        <v>0.246</v>
      </c>
      <c r="G27" s="84">
        <v>0.43099999999999999</v>
      </c>
      <c r="H27" s="84">
        <v>9.1999999999999998E-2</v>
      </c>
      <c r="I27" s="95" t="str">
        <f t="shared" si="0"/>
        <v>*</v>
      </c>
    </row>
    <row r="28" spans="1:9" x14ac:dyDescent="0.2">
      <c r="A28" s="96" t="s">
        <v>32</v>
      </c>
      <c r="B28" s="81">
        <v>0.113</v>
      </c>
      <c r="C28" s="82">
        <v>0.317</v>
      </c>
      <c r="D28" s="81">
        <v>0.10100000000000001</v>
      </c>
      <c r="E28" s="82">
        <v>0.30199999999999999</v>
      </c>
      <c r="F28" s="81">
        <v>0.107</v>
      </c>
      <c r="G28" s="82">
        <v>0.309</v>
      </c>
      <c r="H28" s="82">
        <v>0.63800000000000001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0.186</v>
      </c>
      <c r="C29" s="100">
        <v>0.39</v>
      </c>
      <c r="D29" s="99">
        <v>0.152</v>
      </c>
      <c r="E29" s="100">
        <v>0.36</v>
      </c>
      <c r="F29" s="99">
        <v>0.16900000000000001</v>
      </c>
      <c r="G29" s="100">
        <v>0.375</v>
      </c>
      <c r="H29" s="100">
        <v>0.247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4872-66EA-D647-A21D-56C616C48401}">
  <dimension ref="A1:I29"/>
  <sheetViews>
    <sheetView workbookViewId="0">
      <selection activeCell="B2" sqref="B2:I3"/>
    </sheetView>
  </sheetViews>
  <sheetFormatPr baseColWidth="10" defaultColWidth="8.83203125" defaultRowHeight="15" x14ac:dyDescent="0.2"/>
  <cols>
    <col min="1" max="1" width="48.6640625" style="76" bestFit="1" customWidth="1"/>
    <col min="2" max="16384" width="8.83203125" style="76"/>
  </cols>
  <sheetData>
    <row r="1" spans="1:9" x14ac:dyDescent="0.2">
      <c r="A1" s="87" t="s">
        <v>47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284</v>
      </c>
      <c r="C4" s="80">
        <v>0.48630000000000001</v>
      </c>
      <c r="D4" s="79">
        <v>300</v>
      </c>
      <c r="E4" s="80">
        <v>0.51370000000000005</v>
      </c>
      <c r="F4" s="79">
        <v>584</v>
      </c>
      <c r="G4" s="80">
        <v>1</v>
      </c>
      <c r="H4" s="77"/>
      <c r="I4" s="95"/>
    </row>
    <row r="5" spans="1:9" x14ac:dyDescent="0.2">
      <c r="A5" s="96" t="s">
        <v>7</v>
      </c>
      <c r="B5" s="81">
        <v>0.88200000000000001</v>
      </c>
      <c r="C5" s="82">
        <v>0.32400000000000001</v>
      </c>
      <c r="D5" s="81">
        <v>0.90200000000000002</v>
      </c>
      <c r="E5" s="82">
        <v>0.29799999999999999</v>
      </c>
      <c r="F5" s="81">
        <v>0.89200000000000002</v>
      </c>
      <c r="G5" s="82">
        <v>0.311</v>
      </c>
      <c r="H5" s="82">
        <v>0.442</v>
      </c>
      <c r="I5" s="95" t="str">
        <f t="shared" ref="I5:I29" si="0"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0.89100000000000001</v>
      </c>
      <c r="C6" s="82">
        <v>0.312</v>
      </c>
      <c r="D6" s="81">
        <v>0.9</v>
      </c>
      <c r="E6" s="82">
        <v>0.30099999999999999</v>
      </c>
      <c r="F6" s="81">
        <v>0.89600000000000002</v>
      </c>
      <c r="G6" s="82">
        <v>0.30599999999999999</v>
      </c>
      <c r="H6" s="82">
        <v>0.73599999999999999</v>
      </c>
      <c r="I6" s="95" t="str">
        <f t="shared" si="0"/>
        <v/>
      </c>
    </row>
    <row r="7" spans="1:9" x14ac:dyDescent="0.2">
      <c r="A7" s="96" t="s">
        <v>9</v>
      </c>
      <c r="B7" s="81">
        <v>0.96299999999999997</v>
      </c>
      <c r="C7" s="82">
        <v>0.189</v>
      </c>
      <c r="D7" s="81">
        <v>0.96799999999999997</v>
      </c>
      <c r="E7" s="82">
        <v>0.17499999999999999</v>
      </c>
      <c r="F7" s="81">
        <v>0.96599999999999997</v>
      </c>
      <c r="G7" s="82">
        <v>0.182</v>
      </c>
      <c r="H7" s="82">
        <v>0.73599999999999999</v>
      </c>
      <c r="I7" s="95" t="str">
        <f t="shared" si="0"/>
        <v/>
      </c>
    </row>
    <row r="8" spans="1:9" x14ac:dyDescent="0.2">
      <c r="A8" s="96" t="s">
        <v>10</v>
      </c>
      <c r="B8" s="81">
        <v>7.0999999999999994E-2</v>
      </c>
      <c r="C8" s="82">
        <v>0.25700000000000001</v>
      </c>
      <c r="D8" s="81">
        <v>4.7E-2</v>
      </c>
      <c r="E8" s="82">
        <v>0.21199999999999999</v>
      </c>
      <c r="F8" s="81">
        <v>5.8999999999999997E-2</v>
      </c>
      <c r="G8" s="82">
        <v>0.23499999999999999</v>
      </c>
      <c r="H8" s="82">
        <v>0.22500000000000001</v>
      </c>
      <c r="I8" s="95" t="str">
        <f t="shared" si="0"/>
        <v/>
      </c>
    </row>
    <row r="9" spans="1:9" x14ac:dyDescent="0.2">
      <c r="A9" s="96" t="s">
        <v>11</v>
      </c>
      <c r="B9" s="81">
        <v>0.96799999999999997</v>
      </c>
      <c r="C9" s="82">
        <v>0.17699999999999999</v>
      </c>
      <c r="D9" s="81">
        <v>0.96199999999999997</v>
      </c>
      <c r="E9" s="82">
        <v>0.193</v>
      </c>
      <c r="F9" s="81">
        <v>0.96499999999999997</v>
      </c>
      <c r="G9" s="82">
        <v>0.185</v>
      </c>
      <c r="H9" s="82">
        <v>0.69699999999999995</v>
      </c>
      <c r="I9" s="95" t="str">
        <f t="shared" si="0"/>
        <v/>
      </c>
    </row>
    <row r="10" spans="1:9" x14ac:dyDescent="0.2">
      <c r="A10" s="96" t="s">
        <v>12</v>
      </c>
      <c r="B10" s="81">
        <v>0.85699999999999998</v>
      </c>
      <c r="C10" s="82">
        <v>0.35099999999999998</v>
      </c>
      <c r="D10" s="81">
        <v>0.80600000000000005</v>
      </c>
      <c r="E10" s="82">
        <v>0.39600000000000002</v>
      </c>
      <c r="F10" s="81">
        <v>0.83099999999999996</v>
      </c>
      <c r="G10" s="82">
        <v>0.375</v>
      </c>
      <c r="H10" s="82">
        <v>0.105</v>
      </c>
      <c r="I10" s="95" t="str">
        <f t="shared" si="0"/>
        <v/>
      </c>
    </row>
    <row r="11" spans="1:9" x14ac:dyDescent="0.2">
      <c r="A11" s="96" t="s">
        <v>13</v>
      </c>
      <c r="B11" s="81">
        <v>0.96099999999999997</v>
      </c>
      <c r="C11" s="82">
        <v>0.19500000000000001</v>
      </c>
      <c r="D11" s="81">
        <v>0.96899999999999997</v>
      </c>
      <c r="E11" s="82">
        <v>0.17399999999999999</v>
      </c>
      <c r="F11" s="81">
        <v>0.96499999999999997</v>
      </c>
      <c r="G11" s="82">
        <v>0.185</v>
      </c>
      <c r="H11" s="82">
        <v>0.59899999999999998</v>
      </c>
      <c r="I11" s="95" t="str">
        <f t="shared" si="0"/>
        <v/>
      </c>
    </row>
    <row r="12" spans="1:9" x14ac:dyDescent="0.2">
      <c r="A12" s="96" t="s">
        <v>14</v>
      </c>
      <c r="B12" s="81">
        <v>0.90200000000000002</v>
      </c>
      <c r="C12" s="82">
        <v>0.29799999999999999</v>
      </c>
      <c r="D12" s="81">
        <v>0.93600000000000005</v>
      </c>
      <c r="E12" s="82">
        <v>0.246</v>
      </c>
      <c r="F12" s="81">
        <v>0.91900000000000004</v>
      </c>
      <c r="G12" s="82">
        <v>0.27200000000000002</v>
      </c>
      <c r="H12" s="82">
        <v>0.14299999999999999</v>
      </c>
      <c r="I12" s="95" t="str">
        <f t="shared" si="0"/>
        <v/>
      </c>
    </row>
    <row r="13" spans="1:9" x14ac:dyDescent="0.2">
      <c r="A13" s="96" t="s">
        <v>15</v>
      </c>
      <c r="B13" s="81">
        <v>7.0999999999999994E-2</v>
      </c>
      <c r="C13" s="82">
        <v>0.25700000000000001</v>
      </c>
      <c r="D13" s="81">
        <v>6.8000000000000005E-2</v>
      </c>
      <c r="E13" s="82">
        <v>0.251</v>
      </c>
      <c r="F13" s="81">
        <v>6.9000000000000006E-2</v>
      </c>
      <c r="G13" s="82">
        <v>0.254</v>
      </c>
      <c r="H13" s="82">
        <v>0.88300000000000001</v>
      </c>
      <c r="I13" s="95" t="str">
        <f t="shared" si="0"/>
        <v/>
      </c>
    </row>
    <row r="14" spans="1:9" x14ac:dyDescent="0.2">
      <c r="A14" s="97" t="s">
        <v>16</v>
      </c>
      <c r="B14" s="83">
        <v>0.95199999999999996</v>
      </c>
      <c r="C14" s="84">
        <v>0.215</v>
      </c>
      <c r="D14" s="83">
        <v>0.98899999999999999</v>
      </c>
      <c r="E14" s="84">
        <v>0.104</v>
      </c>
      <c r="F14" s="83">
        <v>0.97</v>
      </c>
      <c r="G14" s="84">
        <v>0.16900000000000001</v>
      </c>
      <c r="H14" s="84">
        <v>0.01</v>
      </c>
      <c r="I14" s="236" t="str">
        <f t="shared" si="0"/>
        <v>***</v>
      </c>
    </row>
    <row r="15" spans="1:9" x14ac:dyDescent="0.2">
      <c r="A15" s="96" t="s">
        <v>17</v>
      </c>
      <c r="B15" s="81">
        <v>0.77500000000000002</v>
      </c>
      <c r="C15" s="82">
        <v>0.41799999999999998</v>
      </c>
      <c r="D15" s="81">
        <v>0.81200000000000006</v>
      </c>
      <c r="E15" s="82">
        <v>0.39100000000000001</v>
      </c>
      <c r="F15" s="81">
        <v>0.79400000000000004</v>
      </c>
      <c r="G15" s="82">
        <v>0.40500000000000003</v>
      </c>
      <c r="H15" s="82">
        <v>0.28100000000000003</v>
      </c>
      <c r="I15" s="95" t="str">
        <f t="shared" si="0"/>
        <v/>
      </c>
    </row>
    <row r="16" spans="1:9" x14ac:dyDescent="0.2">
      <c r="A16" s="96" t="s">
        <v>18</v>
      </c>
      <c r="B16" s="81">
        <v>0.97</v>
      </c>
      <c r="C16" s="82">
        <v>0.17</v>
      </c>
      <c r="D16" s="81">
        <v>0.96699999999999997</v>
      </c>
      <c r="E16" s="82">
        <v>0.17899999999999999</v>
      </c>
      <c r="F16" s="81">
        <v>0.96899999999999997</v>
      </c>
      <c r="G16" s="82">
        <v>0.17399999999999999</v>
      </c>
      <c r="H16" s="82">
        <v>0.84199999999999997</v>
      </c>
      <c r="I16" s="95" t="str">
        <f t="shared" si="0"/>
        <v/>
      </c>
    </row>
    <row r="17" spans="1:9" x14ac:dyDescent="0.2">
      <c r="A17" s="97" t="s">
        <v>19</v>
      </c>
      <c r="B17" s="83">
        <v>0.623</v>
      </c>
      <c r="C17" s="84">
        <v>0.48499999999999999</v>
      </c>
      <c r="D17" s="83">
        <v>0.73499999999999999</v>
      </c>
      <c r="E17" s="84">
        <v>0.442</v>
      </c>
      <c r="F17" s="83">
        <v>0.68</v>
      </c>
      <c r="G17" s="84">
        <v>0.46700000000000003</v>
      </c>
      <c r="H17" s="84">
        <v>4.0000000000000001E-3</v>
      </c>
      <c r="I17" s="236" t="str">
        <f t="shared" si="0"/>
        <v>***</v>
      </c>
    </row>
    <row r="18" spans="1:9" x14ac:dyDescent="0.2">
      <c r="A18" s="96" t="s">
        <v>20</v>
      </c>
      <c r="B18" s="81">
        <v>0.26900000000000002</v>
      </c>
      <c r="C18" s="82">
        <v>0.44400000000000001</v>
      </c>
      <c r="D18" s="81">
        <v>0.27900000000000003</v>
      </c>
      <c r="E18" s="82">
        <v>0.44900000000000001</v>
      </c>
      <c r="F18" s="81">
        <v>0.27400000000000002</v>
      </c>
      <c r="G18" s="82">
        <v>0.44600000000000001</v>
      </c>
      <c r="H18" s="82">
        <v>0.78800000000000003</v>
      </c>
      <c r="I18" s="95" t="str">
        <f t="shared" si="0"/>
        <v/>
      </c>
    </row>
    <row r="19" spans="1:9" x14ac:dyDescent="0.2">
      <c r="A19" s="96" t="s">
        <v>22</v>
      </c>
      <c r="B19" s="81">
        <v>0.56000000000000005</v>
      </c>
      <c r="C19" s="82">
        <v>0.497</v>
      </c>
      <c r="D19" s="81">
        <v>0.625</v>
      </c>
      <c r="E19" s="82">
        <v>0.48499999999999999</v>
      </c>
      <c r="F19" s="81">
        <v>0.59299999999999997</v>
      </c>
      <c r="G19" s="82">
        <v>0.49199999999999999</v>
      </c>
      <c r="H19" s="82">
        <v>0.108</v>
      </c>
      <c r="I19" s="95" t="str">
        <f t="shared" si="0"/>
        <v/>
      </c>
    </row>
    <row r="20" spans="1:9" x14ac:dyDescent="0.2">
      <c r="A20" s="96" t="s">
        <v>23</v>
      </c>
      <c r="B20" s="81">
        <v>0.51400000000000001</v>
      </c>
      <c r="C20" s="82">
        <v>0.501</v>
      </c>
      <c r="D20" s="81">
        <v>0.55100000000000005</v>
      </c>
      <c r="E20" s="82">
        <v>0.498</v>
      </c>
      <c r="F20" s="81">
        <v>0.53300000000000003</v>
      </c>
      <c r="G20" s="82">
        <v>0.499</v>
      </c>
      <c r="H20" s="82">
        <v>0.38</v>
      </c>
      <c r="I20" s="95" t="str">
        <f t="shared" si="0"/>
        <v/>
      </c>
    </row>
    <row r="21" spans="1:9" x14ac:dyDescent="0.2">
      <c r="A21" s="96" t="s">
        <v>24</v>
      </c>
      <c r="B21" s="81">
        <v>0.45700000000000002</v>
      </c>
      <c r="C21" s="82">
        <v>0.499</v>
      </c>
      <c r="D21" s="81">
        <v>0.49299999999999999</v>
      </c>
      <c r="E21" s="82">
        <v>0.501</v>
      </c>
      <c r="F21" s="81">
        <v>0.47599999999999998</v>
      </c>
      <c r="G21" s="82">
        <v>0.5</v>
      </c>
      <c r="H21" s="82">
        <v>0.39100000000000001</v>
      </c>
      <c r="I21" s="95" t="str">
        <f t="shared" si="0"/>
        <v/>
      </c>
    </row>
    <row r="22" spans="1:9" x14ac:dyDescent="0.2">
      <c r="A22" s="97" t="s">
        <v>25</v>
      </c>
      <c r="B22" s="83">
        <v>0.29599999999999999</v>
      </c>
      <c r="C22" s="84">
        <v>0.45700000000000002</v>
      </c>
      <c r="D22" s="83">
        <v>0.215</v>
      </c>
      <c r="E22" s="84">
        <v>0.41099999999999998</v>
      </c>
      <c r="F22" s="83">
        <v>0.254</v>
      </c>
      <c r="G22" s="84">
        <v>0.436</v>
      </c>
      <c r="H22" s="84">
        <v>2.5000000000000001E-2</v>
      </c>
      <c r="I22" s="236" t="str">
        <f t="shared" si="0"/>
        <v>**</v>
      </c>
    </row>
    <row r="23" spans="1:9" x14ac:dyDescent="0.2">
      <c r="A23" s="96" t="s">
        <v>26</v>
      </c>
      <c r="B23" s="81">
        <v>0.372</v>
      </c>
      <c r="C23" s="82">
        <v>0.48399999999999999</v>
      </c>
      <c r="D23" s="81">
        <v>0.34100000000000003</v>
      </c>
      <c r="E23" s="82">
        <v>0.47499999999999998</v>
      </c>
      <c r="F23" s="81">
        <v>0.35699999999999998</v>
      </c>
      <c r="G23" s="82">
        <v>0.48</v>
      </c>
      <c r="H23" s="82">
        <v>0.47099999999999997</v>
      </c>
      <c r="I23" s="95" t="str">
        <f t="shared" si="0"/>
        <v/>
      </c>
    </row>
    <row r="24" spans="1:9" x14ac:dyDescent="0.2">
      <c r="A24" s="96" t="s">
        <v>28</v>
      </c>
      <c r="B24" s="81">
        <v>0.27300000000000002</v>
      </c>
      <c r="C24" s="82">
        <v>0.44600000000000001</v>
      </c>
      <c r="D24" s="81">
        <v>0.28999999999999998</v>
      </c>
      <c r="E24" s="82">
        <v>0.45500000000000002</v>
      </c>
      <c r="F24" s="81">
        <v>0.28199999999999997</v>
      </c>
      <c r="G24" s="82">
        <v>0.45</v>
      </c>
      <c r="H24" s="82">
        <v>0.65</v>
      </c>
      <c r="I24" s="95" t="str">
        <f t="shared" si="0"/>
        <v/>
      </c>
    </row>
    <row r="25" spans="1:9" x14ac:dyDescent="0.2">
      <c r="A25" s="96" t="s">
        <v>29</v>
      </c>
      <c r="B25" s="81">
        <v>0.91300000000000003</v>
      </c>
      <c r="C25" s="82">
        <v>0.28299999999999997</v>
      </c>
      <c r="D25" s="81">
        <v>0.89400000000000002</v>
      </c>
      <c r="E25" s="82">
        <v>0.308</v>
      </c>
      <c r="F25" s="81">
        <v>0.90300000000000002</v>
      </c>
      <c r="G25" s="82">
        <v>0.29599999999999999</v>
      </c>
      <c r="H25" s="82">
        <v>0.45500000000000002</v>
      </c>
      <c r="I25" s="95" t="str">
        <f t="shared" si="0"/>
        <v/>
      </c>
    </row>
    <row r="26" spans="1:9" x14ac:dyDescent="0.2">
      <c r="A26" s="96" t="s">
        <v>30</v>
      </c>
      <c r="B26" s="81">
        <v>0.95399999999999996</v>
      </c>
      <c r="C26" s="82">
        <v>0.21</v>
      </c>
      <c r="D26" s="81">
        <v>0.92200000000000004</v>
      </c>
      <c r="E26" s="82">
        <v>0.26900000000000002</v>
      </c>
      <c r="F26" s="81">
        <v>0.93799999999999994</v>
      </c>
      <c r="G26" s="82">
        <v>0.24199999999999999</v>
      </c>
      <c r="H26" s="82">
        <v>0.114</v>
      </c>
      <c r="I26" s="95" t="str">
        <f t="shared" si="0"/>
        <v/>
      </c>
    </row>
    <row r="27" spans="1:9" x14ac:dyDescent="0.2">
      <c r="A27" s="96" t="s">
        <v>31</v>
      </c>
      <c r="B27" s="81">
        <v>0.11</v>
      </c>
      <c r="C27" s="82">
        <v>0.314</v>
      </c>
      <c r="D27" s="81">
        <v>9.0999999999999998E-2</v>
      </c>
      <c r="E27" s="82">
        <v>0.28799999999999998</v>
      </c>
      <c r="F27" s="81">
        <v>0.10100000000000001</v>
      </c>
      <c r="G27" s="82">
        <v>0.30099999999999999</v>
      </c>
      <c r="H27" s="82">
        <v>0.44600000000000001</v>
      </c>
      <c r="I27" s="95" t="str">
        <f t="shared" si="0"/>
        <v/>
      </c>
    </row>
    <row r="28" spans="1:9" x14ac:dyDescent="0.2">
      <c r="A28" s="96" t="s">
        <v>32</v>
      </c>
      <c r="B28" s="81">
        <v>7.0999999999999994E-2</v>
      </c>
      <c r="C28" s="82">
        <v>0.25700000000000001</v>
      </c>
      <c r="D28" s="81">
        <v>5.3999999999999999E-2</v>
      </c>
      <c r="E28" s="82">
        <v>0.22600000000000001</v>
      </c>
      <c r="F28" s="81">
        <v>6.2E-2</v>
      </c>
      <c r="G28" s="82">
        <v>0.24199999999999999</v>
      </c>
      <c r="H28" s="82">
        <v>0.39700000000000002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5.7000000000000002E-2</v>
      </c>
      <c r="C29" s="100">
        <v>0.23200000000000001</v>
      </c>
      <c r="D29" s="99">
        <v>4.8000000000000001E-2</v>
      </c>
      <c r="E29" s="100">
        <v>0.214</v>
      </c>
      <c r="F29" s="99">
        <v>5.1999999999999998E-2</v>
      </c>
      <c r="G29" s="100">
        <v>0.223</v>
      </c>
      <c r="H29" s="100">
        <v>0.63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F1A4-2EA2-384B-9CCF-BDFE4FDE9648}">
  <dimension ref="A1:I29"/>
  <sheetViews>
    <sheetView workbookViewId="0">
      <selection activeCell="A2" sqref="A2:I3"/>
    </sheetView>
  </sheetViews>
  <sheetFormatPr baseColWidth="10" defaultColWidth="8.83203125" defaultRowHeight="15" x14ac:dyDescent="0.2"/>
  <cols>
    <col min="1" max="16384" width="8.83203125" style="76"/>
  </cols>
  <sheetData>
    <row r="1" spans="1:9" x14ac:dyDescent="0.2">
      <c r="A1" s="87" t="s">
        <v>39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140</v>
      </c>
      <c r="C4" s="80">
        <v>0.47782000000000002</v>
      </c>
      <c r="D4" s="79">
        <v>153</v>
      </c>
      <c r="E4" s="80">
        <v>0.52217999999999998</v>
      </c>
      <c r="F4" s="79">
        <v>293</v>
      </c>
      <c r="G4" s="80">
        <v>1</v>
      </c>
      <c r="H4" s="77"/>
      <c r="I4" s="95"/>
    </row>
    <row r="5" spans="1:9" x14ac:dyDescent="0.2">
      <c r="A5" s="96" t="s">
        <v>7</v>
      </c>
      <c r="B5" s="86">
        <v>0.79600000000000004</v>
      </c>
      <c r="C5" s="82">
        <v>0.40500000000000003</v>
      </c>
      <c r="D5" s="86">
        <v>0.79500000000000004</v>
      </c>
      <c r="E5" s="82">
        <v>0.40500000000000003</v>
      </c>
      <c r="F5" s="86">
        <v>0.79500000000000004</v>
      </c>
      <c r="G5" s="82">
        <v>0.40400000000000003</v>
      </c>
      <c r="H5" s="82">
        <v>0.98499999999999999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6">
        <v>0.78300000000000003</v>
      </c>
      <c r="C6" s="82">
        <v>0.41399999999999998</v>
      </c>
      <c r="D6" s="86">
        <v>0.79500000000000004</v>
      </c>
      <c r="E6" s="82">
        <v>0.40500000000000003</v>
      </c>
      <c r="F6" s="86">
        <v>0.78900000000000003</v>
      </c>
      <c r="G6" s="82">
        <v>0.40899999999999997</v>
      </c>
      <c r="H6" s="82">
        <v>0.80200000000000005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6" t="s">
        <v>9</v>
      </c>
      <c r="B7" s="86">
        <v>0.89900000000000002</v>
      </c>
      <c r="C7" s="82">
        <v>0.30299999999999999</v>
      </c>
      <c r="D7" s="86">
        <v>0.92100000000000004</v>
      </c>
      <c r="E7" s="82">
        <v>0.27100000000000002</v>
      </c>
      <c r="F7" s="86">
        <v>0.91</v>
      </c>
      <c r="G7" s="82">
        <v>0.28699999999999998</v>
      </c>
      <c r="H7" s="82">
        <v>0.51600000000000001</v>
      </c>
      <c r="I7" s="95" t="str">
        <f t="shared" si="0"/>
        <v/>
      </c>
    </row>
    <row r="8" spans="1:9" x14ac:dyDescent="0.2">
      <c r="A8" s="96" t="s">
        <v>10</v>
      </c>
      <c r="B8" s="86">
        <v>6.4000000000000001E-2</v>
      </c>
      <c r="C8" s="82">
        <v>0.246</v>
      </c>
      <c r="D8" s="86">
        <v>9.1999999999999998E-2</v>
      </c>
      <c r="E8" s="82">
        <v>0.28899999999999998</v>
      </c>
      <c r="F8" s="86">
        <v>7.8E-2</v>
      </c>
      <c r="G8" s="82">
        <v>0.26900000000000002</v>
      </c>
      <c r="H8" s="82">
        <v>0.38900000000000001</v>
      </c>
      <c r="I8" s="95" t="str">
        <f t="shared" si="0"/>
        <v/>
      </c>
    </row>
    <row r="9" spans="1:9" x14ac:dyDescent="0.2">
      <c r="A9" s="96" t="s">
        <v>11</v>
      </c>
      <c r="B9" s="86">
        <v>0.81599999999999995</v>
      </c>
      <c r="C9" s="82">
        <v>0.38900000000000001</v>
      </c>
      <c r="D9" s="86">
        <v>0.78300000000000003</v>
      </c>
      <c r="E9" s="82">
        <v>0.41399999999999998</v>
      </c>
      <c r="F9" s="86">
        <v>0.79900000000000004</v>
      </c>
      <c r="G9" s="82">
        <v>0.40200000000000002</v>
      </c>
      <c r="H9" s="82">
        <v>0.48399999999999999</v>
      </c>
      <c r="I9" s="95" t="str">
        <f t="shared" si="0"/>
        <v/>
      </c>
    </row>
    <row r="10" spans="1:9" x14ac:dyDescent="0.2">
      <c r="A10" s="96" t="s">
        <v>12</v>
      </c>
      <c r="B10" s="86">
        <v>0.51800000000000002</v>
      </c>
      <c r="C10" s="82">
        <v>0.502</v>
      </c>
      <c r="D10" s="86">
        <v>0.51300000000000001</v>
      </c>
      <c r="E10" s="82">
        <v>0.501</v>
      </c>
      <c r="F10" s="86">
        <v>0.51600000000000001</v>
      </c>
      <c r="G10" s="82">
        <v>0.501</v>
      </c>
      <c r="H10" s="82">
        <v>0.93100000000000005</v>
      </c>
      <c r="I10" s="95" t="str">
        <f t="shared" si="0"/>
        <v/>
      </c>
    </row>
    <row r="11" spans="1:9" x14ac:dyDescent="0.2">
      <c r="A11" s="96" t="s">
        <v>13</v>
      </c>
      <c r="B11" s="86">
        <v>0.83199999999999996</v>
      </c>
      <c r="C11" s="82">
        <v>0.375</v>
      </c>
      <c r="D11" s="86">
        <v>0.82</v>
      </c>
      <c r="E11" s="82">
        <v>0.38500000000000001</v>
      </c>
      <c r="F11" s="86">
        <v>0.82599999999999996</v>
      </c>
      <c r="G11" s="82">
        <v>0.38</v>
      </c>
      <c r="H11" s="82">
        <v>0.78800000000000003</v>
      </c>
      <c r="I11" s="95" t="str">
        <f t="shared" si="0"/>
        <v/>
      </c>
    </row>
    <row r="12" spans="1:9" x14ac:dyDescent="0.2">
      <c r="A12" s="96" t="s">
        <v>14</v>
      </c>
      <c r="B12" s="86">
        <v>0.83199999999999996</v>
      </c>
      <c r="C12" s="82">
        <v>0.375</v>
      </c>
      <c r="D12" s="86">
        <v>0.84</v>
      </c>
      <c r="E12" s="82">
        <v>0.36799999999999999</v>
      </c>
      <c r="F12" s="86">
        <v>0.83599999999999997</v>
      </c>
      <c r="G12" s="82">
        <v>0.371</v>
      </c>
      <c r="H12" s="82">
        <v>0.85799999999999998</v>
      </c>
      <c r="I12" s="95" t="str">
        <f t="shared" si="0"/>
        <v/>
      </c>
    </row>
    <row r="13" spans="1:9" x14ac:dyDescent="0.2">
      <c r="A13" s="96" t="s">
        <v>15</v>
      </c>
      <c r="B13" s="86">
        <v>0.27900000000000003</v>
      </c>
      <c r="C13" s="82">
        <v>0.45</v>
      </c>
      <c r="D13" s="86">
        <v>0.28799999999999998</v>
      </c>
      <c r="E13" s="82">
        <v>0.45400000000000001</v>
      </c>
      <c r="F13" s="86">
        <v>0.28299999999999997</v>
      </c>
      <c r="G13" s="82">
        <v>0.45100000000000001</v>
      </c>
      <c r="H13" s="82">
        <v>0.86499999999999999</v>
      </c>
      <c r="I13" s="95" t="str">
        <f t="shared" si="0"/>
        <v/>
      </c>
    </row>
    <row r="14" spans="1:9" x14ac:dyDescent="0.2">
      <c r="A14" s="96" t="s">
        <v>16</v>
      </c>
      <c r="B14" s="86">
        <v>0.85499999999999998</v>
      </c>
      <c r="C14" s="82">
        <v>0.35299999999999998</v>
      </c>
      <c r="D14" s="86">
        <v>0.91100000000000003</v>
      </c>
      <c r="E14" s="82">
        <v>0.28599999999999998</v>
      </c>
      <c r="F14" s="86">
        <v>0.88300000000000001</v>
      </c>
      <c r="G14" s="82">
        <v>0.32100000000000001</v>
      </c>
      <c r="H14" s="82">
        <v>0.155</v>
      </c>
      <c r="I14" s="95" t="str">
        <f t="shared" si="0"/>
        <v/>
      </c>
    </row>
    <row r="15" spans="1:9" x14ac:dyDescent="0.2">
      <c r="A15" s="96" t="s">
        <v>17</v>
      </c>
      <c r="B15" s="86">
        <v>0.73</v>
      </c>
      <c r="C15" s="82">
        <v>0.44600000000000001</v>
      </c>
      <c r="D15" s="86">
        <v>0.70599999999999996</v>
      </c>
      <c r="E15" s="82">
        <v>0.45700000000000002</v>
      </c>
      <c r="F15" s="86">
        <v>0.71799999999999997</v>
      </c>
      <c r="G15" s="82">
        <v>0.45100000000000001</v>
      </c>
      <c r="H15" s="82">
        <v>0.66400000000000003</v>
      </c>
      <c r="I15" s="95" t="str">
        <f t="shared" si="0"/>
        <v/>
      </c>
    </row>
    <row r="16" spans="1:9" x14ac:dyDescent="0.2">
      <c r="A16" s="96" t="s">
        <v>18</v>
      </c>
      <c r="B16" s="86">
        <v>0.92200000000000004</v>
      </c>
      <c r="C16" s="82">
        <v>0.26900000000000002</v>
      </c>
      <c r="D16" s="86">
        <v>0.94099999999999995</v>
      </c>
      <c r="E16" s="82">
        <v>0.23699999999999999</v>
      </c>
      <c r="F16" s="86">
        <v>0.93200000000000005</v>
      </c>
      <c r="G16" s="82">
        <v>0.253</v>
      </c>
      <c r="H16" s="82">
        <v>0.54700000000000004</v>
      </c>
      <c r="I16" s="95" t="str">
        <f t="shared" si="0"/>
        <v/>
      </c>
    </row>
    <row r="17" spans="1:9" x14ac:dyDescent="0.2">
      <c r="A17" s="96" t="s">
        <v>19</v>
      </c>
      <c r="B17" s="86">
        <v>0.79900000000000004</v>
      </c>
      <c r="C17" s="82">
        <v>0.40300000000000002</v>
      </c>
      <c r="D17" s="86">
        <v>0.82399999999999995</v>
      </c>
      <c r="E17" s="82">
        <v>0.38200000000000001</v>
      </c>
      <c r="F17" s="86">
        <v>0.81200000000000006</v>
      </c>
      <c r="G17" s="82">
        <v>0.39100000000000001</v>
      </c>
      <c r="H17" s="82">
        <v>0.58099999999999996</v>
      </c>
      <c r="I17" s="95" t="str">
        <f t="shared" si="0"/>
        <v/>
      </c>
    </row>
    <row r="18" spans="1:9" x14ac:dyDescent="0.2">
      <c r="A18" s="96" t="s">
        <v>20</v>
      </c>
      <c r="B18" s="86">
        <v>0.59</v>
      </c>
      <c r="C18" s="82">
        <v>0.49399999999999999</v>
      </c>
      <c r="D18" s="86">
        <v>0.50700000000000001</v>
      </c>
      <c r="E18" s="82">
        <v>0.502</v>
      </c>
      <c r="F18" s="86">
        <v>0.54500000000000004</v>
      </c>
      <c r="G18" s="82">
        <v>0.499</v>
      </c>
      <c r="H18" s="82">
        <v>0.161</v>
      </c>
      <c r="I18" s="95" t="str">
        <f t="shared" si="0"/>
        <v/>
      </c>
    </row>
    <row r="19" spans="1:9" x14ac:dyDescent="0.2">
      <c r="A19" s="96" t="s">
        <v>22</v>
      </c>
      <c r="B19" s="86">
        <v>0.75800000000000001</v>
      </c>
      <c r="C19" s="82">
        <v>0.43</v>
      </c>
      <c r="D19" s="86">
        <v>0.69599999999999995</v>
      </c>
      <c r="E19" s="82">
        <v>0.46200000000000002</v>
      </c>
      <c r="F19" s="86">
        <v>0.72499999999999998</v>
      </c>
      <c r="G19" s="82">
        <v>0.44700000000000001</v>
      </c>
      <c r="H19" s="82">
        <v>0.251</v>
      </c>
      <c r="I19" s="95" t="str">
        <f t="shared" si="0"/>
        <v/>
      </c>
    </row>
    <row r="20" spans="1:9" x14ac:dyDescent="0.2">
      <c r="A20" s="96" t="s">
        <v>23</v>
      </c>
      <c r="B20" s="86">
        <v>0.123</v>
      </c>
      <c r="C20" s="82">
        <v>0.33</v>
      </c>
      <c r="D20" s="86">
        <v>0.126</v>
      </c>
      <c r="E20" s="82">
        <v>0.33300000000000002</v>
      </c>
      <c r="F20" s="86">
        <v>0.125</v>
      </c>
      <c r="G20" s="82">
        <v>0.33100000000000002</v>
      </c>
      <c r="H20" s="82">
        <v>0.94599999999999995</v>
      </c>
      <c r="I20" s="95" t="str">
        <f t="shared" si="0"/>
        <v/>
      </c>
    </row>
    <row r="21" spans="1:9" x14ac:dyDescent="0.2">
      <c r="A21" s="96" t="s">
        <v>24</v>
      </c>
      <c r="B21" s="86">
        <v>0.188</v>
      </c>
      <c r="C21" s="82">
        <v>0.39200000000000002</v>
      </c>
      <c r="D21" s="86">
        <v>0.128</v>
      </c>
      <c r="E21" s="82">
        <v>0.33500000000000002</v>
      </c>
      <c r="F21" s="86">
        <v>0.157</v>
      </c>
      <c r="G21" s="82">
        <v>0.36399999999999999</v>
      </c>
      <c r="H21" s="82">
        <v>0.157</v>
      </c>
      <c r="I21" s="95" t="str">
        <f t="shared" si="0"/>
        <v/>
      </c>
    </row>
    <row r="22" spans="1:9" x14ac:dyDescent="0.2">
      <c r="A22" s="96" t="s">
        <v>25</v>
      </c>
      <c r="B22" s="86">
        <v>0.28799999999999998</v>
      </c>
      <c r="C22" s="82">
        <v>0.45400000000000001</v>
      </c>
      <c r="D22" s="86">
        <v>0.26300000000000001</v>
      </c>
      <c r="E22" s="82">
        <v>0.442</v>
      </c>
      <c r="F22" s="86">
        <v>0.27500000000000002</v>
      </c>
      <c r="G22" s="82">
        <v>0.44700000000000001</v>
      </c>
      <c r="H22" s="82">
        <v>0.64</v>
      </c>
      <c r="I22" s="95" t="str">
        <f t="shared" si="0"/>
        <v/>
      </c>
    </row>
    <row r="23" spans="1:9" x14ac:dyDescent="0.2">
      <c r="A23" s="96" t="s">
        <v>26</v>
      </c>
      <c r="B23" s="86" t="s">
        <v>27</v>
      </c>
      <c r="C23" s="82" t="s">
        <v>27</v>
      </c>
      <c r="D23" s="86" t="s">
        <v>27</v>
      </c>
      <c r="E23" s="82" t="s">
        <v>27</v>
      </c>
      <c r="F23" s="86" t="s">
        <v>27</v>
      </c>
      <c r="G23" s="82" t="s">
        <v>27</v>
      </c>
      <c r="I23" s="95"/>
    </row>
    <row r="24" spans="1:9" x14ac:dyDescent="0.2">
      <c r="A24" s="96" t="s">
        <v>28</v>
      </c>
      <c r="B24" s="86">
        <v>0.17399999999999999</v>
      </c>
      <c r="C24" s="82">
        <v>0.38</v>
      </c>
      <c r="D24" s="86">
        <v>0.113</v>
      </c>
      <c r="E24" s="82">
        <v>0.318</v>
      </c>
      <c r="F24" s="86">
        <v>0.14199999999999999</v>
      </c>
      <c r="G24" s="82">
        <v>0.35</v>
      </c>
      <c r="H24" s="82">
        <v>0.14299999999999999</v>
      </c>
      <c r="I24" s="95" t="str">
        <f t="shared" si="0"/>
        <v/>
      </c>
    </row>
    <row r="25" spans="1:9" x14ac:dyDescent="0.2">
      <c r="A25" s="96" t="s">
        <v>29</v>
      </c>
      <c r="B25" s="86">
        <v>0.86799999999999999</v>
      </c>
      <c r="C25" s="82">
        <v>0.34</v>
      </c>
      <c r="D25" s="86">
        <v>0.82599999999999996</v>
      </c>
      <c r="E25" s="82">
        <v>0.38100000000000001</v>
      </c>
      <c r="F25" s="86">
        <v>0.84599999999999997</v>
      </c>
      <c r="G25" s="82">
        <v>0.36199999999999999</v>
      </c>
      <c r="H25" s="82">
        <v>0.32700000000000001</v>
      </c>
      <c r="I25" s="95" t="str">
        <f t="shared" si="0"/>
        <v/>
      </c>
    </row>
    <row r="26" spans="1:9" x14ac:dyDescent="0.2">
      <c r="A26" s="96" t="s">
        <v>30</v>
      </c>
      <c r="B26" s="86">
        <v>0.82099999999999995</v>
      </c>
      <c r="C26" s="82">
        <v>0.38500000000000001</v>
      </c>
      <c r="D26" s="86">
        <v>0.82199999999999995</v>
      </c>
      <c r="E26" s="82">
        <v>0.38300000000000001</v>
      </c>
      <c r="F26" s="86">
        <v>0.82199999999999995</v>
      </c>
      <c r="G26" s="82">
        <v>0.38300000000000001</v>
      </c>
      <c r="H26" s="82">
        <v>0.97399999999999998</v>
      </c>
      <c r="I26" s="95" t="str">
        <f t="shared" si="0"/>
        <v/>
      </c>
    </row>
    <row r="27" spans="1:9" x14ac:dyDescent="0.2">
      <c r="A27" s="96" t="s">
        <v>31</v>
      </c>
      <c r="B27" s="86">
        <v>0.13800000000000001</v>
      </c>
      <c r="C27" s="82">
        <v>0.34599999999999997</v>
      </c>
      <c r="D27" s="86">
        <v>7.9000000000000001E-2</v>
      </c>
      <c r="E27" s="82">
        <v>0.27100000000000002</v>
      </c>
      <c r="F27" s="86">
        <v>0.107</v>
      </c>
      <c r="G27" s="82">
        <v>0.31</v>
      </c>
      <c r="H27" s="82">
        <v>0.111</v>
      </c>
      <c r="I27" s="95" t="str">
        <f t="shared" si="0"/>
        <v/>
      </c>
    </row>
    <row r="28" spans="1:9" x14ac:dyDescent="0.2">
      <c r="A28" s="96" t="s">
        <v>32</v>
      </c>
      <c r="B28" s="86">
        <v>0.10100000000000001</v>
      </c>
      <c r="C28" s="82">
        <v>0.30299999999999999</v>
      </c>
      <c r="D28" s="86">
        <v>5.2999999999999999E-2</v>
      </c>
      <c r="E28" s="82">
        <v>0.22500000000000001</v>
      </c>
      <c r="F28" s="86">
        <v>7.5999999999999998E-2</v>
      </c>
      <c r="G28" s="82">
        <v>0.26600000000000001</v>
      </c>
      <c r="H28" s="82">
        <v>0.125</v>
      </c>
      <c r="I28" s="95" t="str">
        <f t="shared" si="0"/>
        <v/>
      </c>
    </row>
    <row r="29" spans="1:9" ht="16" thickBot="1" x14ac:dyDescent="0.25">
      <c r="A29" s="98" t="s">
        <v>33</v>
      </c>
      <c r="B29" s="102">
        <v>0.14000000000000001</v>
      </c>
      <c r="C29" s="100">
        <v>0.34799999999999998</v>
      </c>
      <c r="D29" s="102">
        <v>0.104</v>
      </c>
      <c r="E29" s="100">
        <v>0.307</v>
      </c>
      <c r="F29" s="102">
        <v>0.121</v>
      </c>
      <c r="G29" s="100">
        <v>0.32700000000000001</v>
      </c>
      <c r="H29" s="100">
        <v>0.373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1AD6-4D89-9B41-AE20-A2552A4AA54D}">
  <dimension ref="A1:I29"/>
  <sheetViews>
    <sheetView workbookViewId="0">
      <selection activeCell="F26" sqref="F26"/>
    </sheetView>
  </sheetViews>
  <sheetFormatPr baseColWidth="10" defaultColWidth="8.83203125" defaultRowHeight="15" x14ac:dyDescent="0.2"/>
  <cols>
    <col min="1" max="1" width="48.6640625" style="76" bestFit="1" customWidth="1"/>
    <col min="2" max="2" width="8" style="76" bestFit="1" customWidth="1"/>
    <col min="3" max="6" width="7" style="76" bestFit="1" customWidth="1"/>
    <col min="7" max="7" width="5.6640625" style="76" bestFit="1" customWidth="1"/>
    <col min="8" max="16384" width="8.83203125" style="76"/>
  </cols>
  <sheetData>
    <row r="1" spans="1:9" x14ac:dyDescent="0.2">
      <c r="A1" s="87" t="s">
        <v>48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237">
        <v>74</v>
      </c>
      <c r="C4" s="80">
        <v>0.28682000000000002</v>
      </c>
      <c r="D4" s="79">
        <v>184</v>
      </c>
      <c r="E4" s="80">
        <v>0.71318000000000004</v>
      </c>
      <c r="F4" s="237">
        <v>258</v>
      </c>
      <c r="G4" s="238">
        <v>1</v>
      </c>
      <c r="H4" s="77"/>
      <c r="I4" s="95"/>
    </row>
    <row r="5" spans="1:9" x14ac:dyDescent="0.2">
      <c r="A5" s="96" t="s">
        <v>7</v>
      </c>
      <c r="B5" s="81">
        <v>0.70399999999999996</v>
      </c>
      <c r="C5" s="82" t="s">
        <v>49</v>
      </c>
      <c r="D5" s="81">
        <v>0.67600000000000005</v>
      </c>
      <c r="E5" s="82" t="s">
        <v>50</v>
      </c>
      <c r="F5" s="81">
        <v>0.68400000000000005</v>
      </c>
      <c r="G5" s="82" t="s">
        <v>51</v>
      </c>
      <c r="H5" s="82" t="s">
        <v>52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0.56299999999999994</v>
      </c>
      <c r="C6" s="82" t="s">
        <v>53</v>
      </c>
      <c r="D6" s="81">
        <v>0.57499999999999996</v>
      </c>
      <c r="E6" s="82" t="s">
        <v>54</v>
      </c>
      <c r="F6" s="81">
        <v>0.57099999999999995</v>
      </c>
      <c r="G6" s="82" t="s">
        <v>54</v>
      </c>
      <c r="H6" s="82" t="s">
        <v>55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6" t="s">
        <v>9</v>
      </c>
      <c r="B7" s="81">
        <v>1</v>
      </c>
      <c r="C7" s="82" t="s">
        <v>56</v>
      </c>
      <c r="D7" s="81">
        <v>0.96699999999999997</v>
      </c>
      <c r="E7" s="82" t="s">
        <v>57</v>
      </c>
      <c r="F7" s="81">
        <v>0.97599999999999998</v>
      </c>
      <c r="G7" s="82" t="s">
        <v>58</v>
      </c>
      <c r="H7" s="82" t="s">
        <v>59</v>
      </c>
      <c r="I7" s="95" t="str">
        <f t="shared" si="0"/>
        <v/>
      </c>
    </row>
    <row r="8" spans="1:9" x14ac:dyDescent="0.2">
      <c r="A8" s="96" t="s">
        <v>10</v>
      </c>
      <c r="B8" s="81">
        <v>0.27</v>
      </c>
      <c r="C8" s="82" t="s">
        <v>60</v>
      </c>
      <c r="D8" s="81">
        <v>0.19600000000000001</v>
      </c>
      <c r="E8" s="82" t="s">
        <v>61</v>
      </c>
      <c r="F8" s="81">
        <v>0.217</v>
      </c>
      <c r="G8" s="82" t="s">
        <v>62</v>
      </c>
      <c r="H8" s="82" t="s">
        <v>63</v>
      </c>
      <c r="I8" s="95" t="str">
        <f t="shared" si="0"/>
        <v/>
      </c>
    </row>
    <row r="9" spans="1:9" x14ac:dyDescent="0.2">
      <c r="A9" s="96" t="s">
        <v>11</v>
      </c>
      <c r="B9" s="81">
        <v>0.57699999999999996</v>
      </c>
      <c r="C9" s="82" t="s">
        <v>64</v>
      </c>
      <c r="D9" s="81">
        <v>0.54600000000000004</v>
      </c>
      <c r="E9" s="82" t="s">
        <v>53</v>
      </c>
      <c r="F9" s="81">
        <v>0.55500000000000005</v>
      </c>
      <c r="G9" s="82" t="s">
        <v>65</v>
      </c>
      <c r="H9" s="82" t="s">
        <v>66</v>
      </c>
      <c r="I9" s="95" t="str">
        <f t="shared" si="0"/>
        <v/>
      </c>
    </row>
    <row r="10" spans="1:9" x14ac:dyDescent="0.2">
      <c r="A10" s="96" t="s">
        <v>12</v>
      </c>
      <c r="B10" s="81">
        <v>0.41899999999999998</v>
      </c>
      <c r="C10" s="82" t="s">
        <v>64</v>
      </c>
      <c r="D10" s="81">
        <v>0.38800000000000001</v>
      </c>
      <c r="E10" s="82" t="s">
        <v>67</v>
      </c>
      <c r="F10" s="81">
        <v>0.39700000000000002</v>
      </c>
      <c r="G10" s="82" t="s">
        <v>68</v>
      </c>
      <c r="H10" s="82" t="s">
        <v>69</v>
      </c>
      <c r="I10" s="95" t="str">
        <f t="shared" si="0"/>
        <v/>
      </c>
    </row>
    <row r="11" spans="1:9" x14ac:dyDescent="0.2">
      <c r="A11" s="96" t="s">
        <v>13</v>
      </c>
      <c r="B11" s="81">
        <v>0.82199999999999995</v>
      </c>
      <c r="C11" s="82" t="s">
        <v>70</v>
      </c>
      <c r="D11" s="81">
        <v>0.87</v>
      </c>
      <c r="E11" s="82" t="s">
        <v>71</v>
      </c>
      <c r="F11" s="81">
        <v>0.85599999999999998</v>
      </c>
      <c r="G11" s="82" t="s">
        <v>72</v>
      </c>
      <c r="H11" s="82" t="s">
        <v>73</v>
      </c>
      <c r="I11" s="95" t="str">
        <f t="shared" si="0"/>
        <v/>
      </c>
    </row>
    <row r="12" spans="1:9" x14ac:dyDescent="0.2">
      <c r="A12" s="96" t="s">
        <v>14</v>
      </c>
      <c r="B12" s="81">
        <v>0.83799999999999997</v>
      </c>
      <c r="C12" s="82" t="s">
        <v>74</v>
      </c>
      <c r="D12" s="81">
        <v>0.88600000000000001</v>
      </c>
      <c r="E12" s="82" t="s">
        <v>75</v>
      </c>
      <c r="F12" s="81">
        <v>0.872</v>
      </c>
      <c r="G12" s="82" t="s">
        <v>76</v>
      </c>
      <c r="H12" s="82" t="s">
        <v>77</v>
      </c>
      <c r="I12" s="95" t="str">
        <f t="shared" si="0"/>
        <v/>
      </c>
    </row>
    <row r="13" spans="1:9" x14ac:dyDescent="0.2">
      <c r="A13" s="96" t="s">
        <v>15</v>
      </c>
      <c r="B13" s="81">
        <v>0.27400000000000002</v>
      </c>
      <c r="C13" s="82" t="s">
        <v>78</v>
      </c>
      <c r="D13" s="81">
        <v>0.26800000000000002</v>
      </c>
      <c r="E13" s="82" t="s">
        <v>79</v>
      </c>
      <c r="F13" s="81">
        <v>0.27</v>
      </c>
      <c r="G13" s="82" t="s">
        <v>80</v>
      </c>
      <c r="H13" s="82" t="s">
        <v>81</v>
      </c>
      <c r="I13" s="95" t="str">
        <f t="shared" si="0"/>
        <v/>
      </c>
    </row>
    <row r="14" spans="1:9" x14ac:dyDescent="0.2">
      <c r="A14" s="96" t="s">
        <v>16</v>
      </c>
      <c r="B14" s="81">
        <v>0.82899999999999996</v>
      </c>
      <c r="C14" s="82" t="s">
        <v>82</v>
      </c>
      <c r="D14" s="81">
        <v>0.83399999999999996</v>
      </c>
      <c r="E14" s="82" t="s">
        <v>83</v>
      </c>
      <c r="F14" s="81">
        <v>0.83299999999999996</v>
      </c>
      <c r="G14" s="82" t="s">
        <v>84</v>
      </c>
      <c r="H14" s="82" t="s">
        <v>85</v>
      </c>
      <c r="I14" s="95" t="str">
        <f t="shared" si="0"/>
        <v/>
      </c>
    </row>
    <row r="15" spans="1:9" x14ac:dyDescent="0.2">
      <c r="A15" s="96" t="s">
        <v>17</v>
      </c>
      <c r="B15" s="81">
        <v>0.56299999999999994</v>
      </c>
      <c r="C15" s="82" t="s">
        <v>53</v>
      </c>
      <c r="D15" s="81">
        <v>0.55000000000000004</v>
      </c>
      <c r="E15" s="82" t="s">
        <v>53</v>
      </c>
      <c r="F15" s="81">
        <v>0.55400000000000005</v>
      </c>
      <c r="G15" s="82" t="s">
        <v>65</v>
      </c>
      <c r="H15" s="82" t="s">
        <v>86</v>
      </c>
      <c r="I15" s="95" t="str">
        <f t="shared" si="0"/>
        <v/>
      </c>
    </row>
    <row r="16" spans="1:9" x14ac:dyDescent="0.2">
      <c r="A16" s="96" t="s">
        <v>18</v>
      </c>
      <c r="B16" s="81">
        <v>0.97199999999999998</v>
      </c>
      <c r="C16" s="82" t="s">
        <v>59</v>
      </c>
      <c r="D16" s="81">
        <v>0.93300000000000005</v>
      </c>
      <c r="E16" s="82" t="s">
        <v>87</v>
      </c>
      <c r="F16" s="81">
        <v>0.94399999999999995</v>
      </c>
      <c r="G16" s="82" t="s">
        <v>88</v>
      </c>
      <c r="H16" s="82" t="s">
        <v>88</v>
      </c>
      <c r="I16" s="95" t="str">
        <f t="shared" si="0"/>
        <v/>
      </c>
    </row>
    <row r="17" spans="1:9" x14ac:dyDescent="0.2">
      <c r="A17" s="96" t="s">
        <v>19</v>
      </c>
      <c r="B17" s="81">
        <v>0.90400000000000003</v>
      </c>
      <c r="C17" s="82" t="s">
        <v>89</v>
      </c>
      <c r="D17" s="81">
        <v>0.89600000000000002</v>
      </c>
      <c r="E17" s="82" t="s">
        <v>90</v>
      </c>
      <c r="F17" s="81">
        <v>0.89800000000000002</v>
      </c>
      <c r="G17" s="82" t="s">
        <v>91</v>
      </c>
      <c r="H17" s="82" t="s">
        <v>92</v>
      </c>
      <c r="I17" s="95" t="str">
        <f t="shared" si="0"/>
        <v/>
      </c>
    </row>
    <row r="18" spans="1:9" x14ac:dyDescent="0.2">
      <c r="A18" s="96" t="s">
        <v>20</v>
      </c>
      <c r="B18" s="81">
        <v>0.64400000000000002</v>
      </c>
      <c r="C18" s="82" t="s">
        <v>93</v>
      </c>
      <c r="D18" s="81">
        <v>0.64100000000000001</v>
      </c>
      <c r="E18" s="82" t="s">
        <v>94</v>
      </c>
      <c r="F18" s="81">
        <v>0.64200000000000002</v>
      </c>
      <c r="G18" s="82" t="s">
        <v>95</v>
      </c>
      <c r="H18" s="82" t="s">
        <v>96</v>
      </c>
      <c r="I18" s="95" t="str">
        <f t="shared" si="0"/>
        <v/>
      </c>
    </row>
    <row r="19" spans="1:9" x14ac:dyDescent="0.2">
      <c r="A19" s="96" t="s">
        <v>22</v>
      </c>
      <c r="B19" s="81">
        <v>0.78100000000000003</v>
      </c>
      <c r="C19" s="82" t="s">
        <v>97</v>
      </c>
      <c r="D19" s="81">
        <v>0.85299999999999998</v>
      </c>
      <c r="E19" s="82" t="s">
        <v>98</v>
      </c>
      <c r="F19" s="81">
        <v>0.83299999999999996</v>
      </c>
      <c r="G19" s="82" t="s">
        <v>84</v>
      </c>
      <c r="H19" s="82" t="s">
        <v>99</v>
      </c>
      <c r="I19" s="95" t="str">
        <f t="shared" si="0"/>
        <v/>
      </c>
    </row>
    <row r="20" spans="1:9" x14ac:dyDescent="0.2">
      <c r="A20" s="96" t="s">
        <v>23</v>
      </c>
      <c r="B20" s="81">
        <v>0.23</v>
      </c>
      <c r="C20" s="82" t="s">
        <v>100</v>
      </c>
      <c r="D20" s="81">
        <v>0.23400000000000001</v>
      </c>
      <c r="E20" s="82" t="s">
        <v>100</v>
      </c>
      <c r="F20" s="81">
        <v>0.23300000000000001</v>
      </c>
      <c r="G20" s="82" t="s">
        <v>101</v>
      </c>
      <c r="H20" s="82" t="s">
        <v>102</v>
      </c>
      <c r="I20" s="95" t="str">
        <f t="shared" si="0"/>
        <v/>
      </c>
    </row>
    <row r="21" spans="1:9" x14ac:dyDescent="0.2">
      <c r="A21" s="96" t="s">
        <v>24</v>
      </c>
      <c r="B21" s="81">
        <v>0.35099999999999998</v>
      </c>
      <c r="C21" s="82" t="s">
        <v>94</v>
      </c>
      <c r="D21" s="81">
        <v>0.26600000000000001</v>
      </c>
      <c r="E21" s="82" t="s">
        <v>103</v>
      </c>
      <c r="F21" s="81">
        <v>0.29099999999999998</v>
      </c>
      <c r="G21" s="82" t="s">
        <v>104</v>
      </c>
      <c r="H21" s="82" t="s">
        <v>105</v>
      </c>
      <c r="I21" s="95" t="str">
        <f t="shared" si="0"/>
        <v/>
      </c>
    </row>
    <row r="22" spans="1:9" x14ac:dyDescent="0.2">
      <c r="A22" s="96" t="s">
        <v>25</v>
      </c>
      <c r="B22" s="81">
        <v>0.46600000000000003</v>
      </c>
      <c r="C22" s="82" t="s">
        <v>106</v>
      </c>
      <c r="D22" s="81">
        <v>0.38</v>
      </c>
      <c r="E22" s="82" t="s">
        <v>107</v>
      </c>
      <c r="F22" s="81">
        <v>0.40500000000000003</v>
      </c>
      <c r="G22" s="82" t="s">
        <v>108</v>
      </c>
      <c r="H22" s="82" t="s">
        <v>109</v>
      </c>
      <c r="I22" s="95" t="str">
        <f t="shared" si="0"/>
        <v/>
      </c>
    </row>
    <row r="23" spans="1:9" x14ac:dyDescent="0.2">
      <c r="A23" s="96" t="s">
        <v>26</v>
      </c>
      <c r="B23" s="81">
        <v>0.35499999999999998</v>
      </c>
      <c r="C23" s="82" t="s">
        <v>93</v>
      </c>
      <c r="D23" s="81">
        <v>0.27800000000000002</v>
      </c>
      <c r="E23" s="82" t="s">
        <v>110</v>
      </c>
      <c r="F23" s="81">
        <v>0.3</v>
      </c>
      <c r="G23" s="82" t="s">
        <v>49</v>
      </c>
      <c r="H23" s="82" t="s">
        <v>111</v>
      </c>
      <c r="I23" s="95" t="str">
        <f t="shared" si="0"/>
        <v/>
      </c>
    </row>
    <row r="24" spans="1:9" x14ac:dyDescent="0.2">
      <c r="A24" s="96" t="s">
        <v>28</v>
      </c>
      <c r="B24" s="81">
        <v>0.56899999999999995</v>
      </c>
      <c r="C24" s="82" t="s">
        <v>53</v>
      </c>
      <c r="D24" s="81">
        <v>0.56100000000000005</v>
      </c>
      <c r="E24" s="82" t="s">
        <v>65</v>
      </c>
      <c r="F24" s="81">
        <v>0.56299999999999994</v>
      </c>
      <c r="G24" s="82" t="s">
        <v>64</v>
      </c>
      <c r="H24" s="82" t="s">
        <v>112</v>
      </c>
      <c r="I24" s="95" t="str">
        <f t="shared" si="0"/>
        <v/>
      </c>
    </row>
    <row r="25" spans="1:9" x14ac:dyDescent="0.2">
      <c r="A25" s="96" t="s">
        <v>29</v>
      </c>
      <c r="B25" s="81">
        <v>0.9</v>
      </c>
      <c r="C25" s="82" t="s">
        <v>113</v>
      </c>
      <c r="D25" s="81">
        <v>0.90400000000000003</v>
      </c>
      <c r="E25" s="82" t="s">
        <v>114</v>
      </c>
      <c r="F25" s="81">
        <v>0.90300000000000002</v>
      </c>
      <c r="G25" s="82" t="s">
        <v>115</v>
      </c>
      <c r="H25" s="82" t="s">
        <v>116</v>
      </c>
      <c r="I25" s="95" t="str">
        <f t="shared" si="0"/>
        <v/>
      </c>
    </row>
    <row r="26" spans="1:9" x14ac:dyDescent="0.2">
      <c r="A26" s="96" t="s">
        <v>30</v>
      </c>
      <c r="B26" s="81">
        <v>0.871</v>
      </c>
      <c r="C26" s="82" t="s">
        <v>117</v>
      </c>
      <c r="D26" s="81">
        <v>0.92700000000000005</v>
      </c>
      <c r="E26" s="82" t="s">
        <v>118</v>
      </c>
      <c r="F26" s="81">
        <v>0.91100000000000003</v>
      </c>
      <c r="G26" s="82" t="s">
        <v>119</v>
      </c>
      <c r="H26" s="82" t="s">
        <v>120</v>
      </c>
      <c r="I26" s="95" t="str">
        <f t="shared" si="0"/>
        <v/>
      </c>
    </row>
    <row r="27" spans="1:9" x14ac:dyDescent="0.2">
      <c r="A27" s="96" t="s">
        <v>31</v>
      </c>
      <c r="B27" s="81">
        <v>0.52700000000000002</v>
      </c>
      <c r="C27" s="82" t="s">
        <v>121</v>
      </c>
      <c r="D27" s="81">
        <v>0.39</v>
      </c>
      <c r="E27" s="82" t="s">
        <v>67</v>
      </c>
      <c r="F27" s="81">
        <v>0.43</v>
      </c>
      <c r="G27" s="82" t="s">
        <v>54</v>
      </c>
      <c r="H27" s="82" t="s">
        <v>122</v>
      </c>
      <c r="I27" s="95" t="str">
        <f t="shared" si="0"/>
        <v/>
      </c>
    </row>
    <row r="28" spans="1:9" x14ac:dyDescent="0.2">
      <c r="A28" s="96" t="s">
        <v>32</v>
      </c>
      <c r="B28" s="81">
        <v>0.27</v>
      </c>
      <c r="C28" s="82" t="s">
        <v>60</v>
      </c>
      <c r="D28" s="81">
        <v>0.20599999999999999</v>
      </c>
      <c r="E28" s="82" t="s">
        <v>123</v>
      </c>
      <c r="F28" s="81">
        <v>0.224</v>
      </c>
      <c r="G28" s="82" t="s">
        <v>124</v>
      </c>
      <c r="H28" s="82" t="s">
        <v>125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0.443</v>
      </c>
      <c r="C29" s="100" t="s">
        <v>126</v>
      </c>
      <c r="D29" s="99">
        <v>0.34399999999999997</v>
      </c>
      <c r="E29" s="100" t="s">
        <v>127</v>
      </c>
      <c r="F29" s="99">
        <v>0.372</v>
      </c>
      <c r="G29" s="100" t="s">
        <v>128</v>
      </c>
      <c r="H29" s="100" t="s">
        <v>129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28C0-C791-E34E-8922-2709D18CC886}">
  <dimension ref="A1:I29"/>
  <sheetViews>
    <sheetView zoomScaleNormal="100" workbookViewId="0">
      <selection activeCell="H33" sqref="H33"/>
    </sheetView>
  </sheetViews>
  <sheetFormatPr baseColWidth="10" defaultColWidth="8.83203125" defaultRowHeight="15" x14ac:dyDescent="0.2"/>
  <cols>
    <col min="1" max="1" width="39.5" style="76" customWidth="1"/>
    <col min="2" max="6" width="7" style="76" bestFit="1" customWidth="1"/>
    <col min="7" max="7" width="8" style="76" bestFit="1" customWidth="1"/>
    <col min="8" max="8" width="6.1640625" style="76" bestFit="1" customWidth="1"/>
    <col min="9" max="16384" width="8.83203125" style="76"/>
  </cols>
  <sheetData>
    <row r="1" spans="1:9" x14ac:dyDescent="0.2">
      <c r="A1" s="87" t="s">
        <v>37</v>
      </c>
      <c r="B1" s="88"/>
      <c r="C1" s="88"/>
      <c r="D1" s="88"/>
      <c r="E1" s="88"/>
      <c r="F1" s="88"/>
      <c r="G1" s="88"/>
      <c r="H1" s="88"/>
      <c r="I1" s="89"/>
    </row>
    <row r="2" spans="1:9" x14ac:dyDescent="0.2">
      <c r="A2" s="90"/>
      <c r="B2" s="254" t="s">
        <v>0</v>
      </c>
      <c r="C2" s="254"/>
      <c r="D2" s="254" t="s">
        <v>1</v>
      </c>
      <c r="E2" s="254"/>
      <c r="F2" s="254" t="s">
        <v>2</v>
      </c>
      <c r="G2" s="254"/>
      <c r="H2" s="77"/>
      <c r="I2" s="91"/>
    </row>
    <row r="3" spans="1:9" x14ac:dyDescent="0.2">
      <c r="A3" s="92"/>
      <c r="B3" s="78" t="s">
        <v>41</v>
      </c>
      <c r="C3" s="78" t="s">
        <v>42</v>
      </c>
      <c r="D3" s="78" t="s">
        <v>41</v>
      </c>
      <c r="E3" s="78" t="s">
        <v>42</v>
      </c>
      <c r="F3" s="78" t="s">
        <v>41</v>
      </c>
      <c r="G3" s="78" t="s">
        <v>42</v>
      </c>
      <c r="H3" s="78" t="s">
        <v>3</v>
      </c>
      <c r="I3" s="93" t="s">
        <v>35</v>
      </c>
    </row>
    <row r="4" spans="1:9" x14ac:dyDescent="0.2">
      <c r="A4" s="94" t="s">
        <v>4</v>
      </c>
      <c r="B4" s="79">
        <v>274</v>
      </c>
      <c r="C4" s="80">
        <v>0.47652</v>
      </c>
      <c r="D4" s="79">
        <v>301</v>
      </c>
      <c r="E4" s="80">
        <v>0.52347999999999995</v>
      </c>
      <c r="F4" s="79">
        <v>575</v>
      </c>
      <c r="G4" s="80">
        <v>1</v>
      </c>
      <c r="H4" s="77"/>
      <c r="I4" s="95"/>
    </row>
    <row r="5" spans="1:9" x14ac:dyDescent="0.2">
      <c r="A5" s="96" t="s">
        <v>7</v>
      </c>
      <c r="B5" s="81">
        <v>0.86899999999999999</v>
      </c>
      <c r="C5" s="82">
        <v>0.33800000000000002</v>
      </c>
      <c r="D5" s="81">
        <v>0.85399999999999998</v>
      </c>
      <c r="E5" s="82">
        <v>0.35399999999999998</v>
      </c>
      <c r="F5" s="81">
        <v>0.86099999999999999</v>
      </c>
      <c r="G5" s="82">
        <v>0.34599999999999997</v>
      </c>
      <c r="H5" s="82">
        <v>0.60899999999999999</v>
      </c>
      <c r="I5" s="95" t="str">
        <f>IF(H5&gt;0.1,"",
   IF(AND(H5&lt;=0.1,H5&gt;0.05),"*",
      IF(AND(H5&lt;=0.05,H5&gt;0.01),"**",
         IF(H5&lt;=0.01,"***",""))))</f>
        <v/>
      </c>
    </row>
    <row r="6" spans="1:9" x14ac:dyDescent="0.2">
      <c r="A6" s="96" t="s">
        <v>8</v>
      </c>
      <c r="B6" s="81">
        <v>0.82799999999999996</v>
      </c>
      <c r="C6" s="82">
        <v>0.378</v>
      </c>
      <c r="D6" s="81">
        <v>0.87</v>
      </c>
      <c r="E6" s="82">
        <v>0.33600000000000002</v>
      </c>
      <c r="F6" s="81">
        <v>0.85</v>
      </c>
      <c r="G6" s="82">
        <v>0.35699999999999998</v>
      </c>
      <c r="H6" s="82">
        <v>0.159</v>
      </c>
      <c r="I6" s="95" t="str">
        <f t="shared" ref="I6:I29" si="0">IF(H6&gt;0.1,"",
   IF(AND(H6&lt;=0.1,H6&gt;0.05),"*",
      IF(AND(H6&lt;=0.05,H6&gt;0.01),"**",
         IF(H6&lt;=0.01,"***",""))))</f>
        <v/>
      </c>
    </row>
    <row r="7" spans="1:9" x14ac:dyDescent="0.2">
      <c r="A7" s="96" t="s">
        <v>9</v>
      </c>
      <c r="B7" s="81">
        <v>0.89800000000000002</v>
      </c>
      <c r="C7" s="82">
        <v>0.30299999999999999</v>
      </c>
      <c r="D7" s="81">
        <v>0.89</v>
      </c>
      <c r="E7" s="82">
        <v>0.313</v>
      </c>
      <c r="F7" s="81">
        <v>0.89400000000000002</v>
      </c>
      <c r="G7" s="82">
        <v>0.308</v>
      </c>
      <c r="H7" s="82">
        <v>0.77300000000000002</v>
      </c>
      <c r="I7" s="95" t="str">
        <f t="shared" si="0"/>
        <v/>
      </c>
    </row>
    <row r="8" spans="1:9" x14ac:dyDescent="0.2">
      <c r="A8" s="96" t="s">
        <v>10</v>
      </c>
      <c r="B8" s="81">
        <v>5.5E-2</v>
      </c>
      <c r="C8" s="82">
        <v>0.22800000000000001</v>
      </c>
      <c r="D8" s="81">
        <v>6.6000000000000003E-2</v>
      </c>
      <c r="E8" s="82">
        <v>0.249</v>
      </c>
      <c r="F8" s="81">
        <v>6.0999999999999999E-2</v>
      </c>
      <c r="G8" s="82">
        <v>0.23899999999999999</v>
      </c>
      <c r="H8" s="82">
        <v>0.55900000000000005</v>
      </c>
      <c r="I8" s="95" t="str">
        <f t="shared" si="0"/>
        <v/>
      </c>
    </row>
    <row r="9" spans="1:9" x14ac:dyDescent="0.2">
      <c r="A9" s="96" t="s">
        <v>11</v>
      </c>
      <c r="B9" s="81">
        <v>0.88300000000000001</v>
      </c>
      <c r="C9" s="82">
        <v>0.32200000000000001</v>
      </c>
      <c r="D9" s="81">
        <v>0.90400000000000003</v>
      </c>
      <c r="E9" s="82">
        <v>0.29599999999999999</v>
      </c>
      <c r="F9" s="81">
        <v>0.89400000000000002</v>
      </c>
      <c r="G9" s="82">
        <v>0.308</v>
      </c>
      <c r="H9" s="82">
        <v>0.42699999999999999</v>
      </c>
      <c r="I9" s="95" t="str">
        <f t="shared" si="0"/>
        <v/>
      </c>
    </row>
    <row r="10" spans="1:9" x14ac:dyDescent="0.2">
      <c r="A10" s="96" t="s">
        <v>12</v>
      </c>
      <c r="B10" s="81">
        <v>0.92700000000000005</v>
      </c>
      <c r="C10" s="82">
        <v>0.26100000000000001</v>
      </c>
      <c r="D10" s="81">
        <v>0.92</v>
      </c>
      <c r="E10" s="82">
        <v>0.27100000000000002</v>
      </c>
      <c r="F10" s="81">
        <v>0.92300000000000004</v>
      </c>
      <c r="G10" s="82">
        <v>0.26600000000000001</v>
      </c>
      <c r="H10" s="82">
        <v>0.76200000000000001</v>
      </c>
      <c r="I10" s="95" t="str">
        <f t="shared" si="0"/>
        <v/>
      </c>
    </row>
    <row r="11" spans="1:9" x14ac:dyDescent="0.2">
      <c r="A11" s="96" t="s">
        <v>13</v>
      </c>
      <c r="B11" s="81">
        <v>0.54700000000000004</v>
      </c>
      <c r="C11" s="82">
        <v>0.499</v>
      </c>
      <c r="D11" s="81">
        <v>0.54800000000000004</v>
      </c>
      <c r="E11" s="82">
        <v>0.499</v>
      </c>
      <c r="F11" s="81">
        <v>0.54800000000000004</v>
      </c>
      <c r="G11" s="82">
        <v>0.498</v>
      </c>
      <c r="H11" s="82">
        <v>0.98599999999999999</v>
      </c>
      <c r="I11" s="95" t="str">
        <f t="shared" si="0"/>
        <v/>
      </c>
    </row>
    <row r="12" spans="1:9" x14ac:dyDescent="0.2">
      <c r="A12" s="96" t="s">
        <v>14</v>
      </c>
      <c r="B12" s="81">
        <v>0.89100000000000001</v>
      </c>
      <c r="C12" s="82">
        <v>0.313</v>
      </c>
      <c r="D12" s="81">
        <v>0.90400000000000003</v>
      </c>
      <c r="E12" s="82">
        <v>0.29599999999999999</v>
      </c>
      <c r="F12" s="81">
        <v>0.89700000000000002</v>
      </c>
      <c r="G12" s="82">
        <v>0.30399999999999999</v>
      </c>
      <c r="H12" s="82">
        <v>0.60499999999999998</v>
      </c>
      <c r="I12" s="95" t="str">
        <f t="shared" si="0"/>
        <v/>
      </c>
    </row>
    <row r="13" spans="1:9" x14ac:dyDescent="0.2">
      <c r="A13" s="97" t="s">
        <v>15</v>
      </c>
      <c r="B13" s="83">
        <v>2.5999999999999999E-2</v>
      </c>
      <c r="C13" s="84">
        <v>0.158</v>
      </c>
      <c r="D13" s="83">
        <v>7.2999999999999995E-2</v>
      </c>
      <c r="E13" s="84">
        <v>0.26100000000000001</v>
      </c>
      <c r="F13" s="83">
        <v>0.05</v>
      </c>
      <c r="G13" s="84">
        <v>0.219</v>
      </c>
      <c r="H13" s="84">
        <v>8.9999999999999993E-3</v>
      </c>
      <c r="I13" s="95" t="str">
        <f t="shared" si="0"/>
        <v>***</v>
      </c>
    </row>
    <row r="14" spans="1:9" x14ac:dyDescent="0.2">
      <c r="A14" s="96" t="s">
        <v>16</v>
      </c>
      <c r="B14" s="81">
        <v>0.88700000000000001</v>
      </c>
      <c r="C14" s="82">
        <v>0.317</v>
      </c>
      <c r="D14" s="81">
        <v>0.9</v>
      </c>
      <c r="E14" s="82">
        <v>0.3</v>
      </c>
      <c r="F14" s="81">
        <v>0.89400000000000002</v>
      </c>
      <c r="G14" s="82">
        <v>0.308</v>
      </c>
      <c r="H14" s="82">
        <v>0.60099999999999998</v>
      </c>
      <c r="I14" s="95" t="str">
        <f t="shared" si="0"/>
        <v/>
      </c>
    </row>
    <row r="15" spans="1:9" x14ac:dyDescent="0.2">
      <c r="A15" s="96" t="s">
        <v>17</v>
      </c>
      <c r="B15" s="81">
        <v>0.79200000000000004</v>
      </c>
      <c r="C15" s="82">
        <v>0.40699999999999997</v>
      </c>
      <c r="D15" s="81">
        <v>0.77100000000000002</v>
      </c>
      <c r="E15" s="82">
        <v>0.42099999999999999</v>
      </c>
      <c r="F15" s="81">
        <v>0.78100000000000003</v>
      </c>
      <c r="G15" s="82">
        <v>0.41399999999999998</v>
      </c>
      <c r="H15" s="82">
        <v>0.54</v>
      </c>
      <c r="I15" s="95" t="str">
        <f t="shared" si="0"/>
        <v/>
      </c>
    </row>
    <row r="16" spans="1:9" x14ac:dyDescent="0.2">
      <c r="A16" s="96" t="s">
        <v>18</v>
      </c>
      <c r="B16" s="81">
        <v>0.92700000000000005</v>
      </c>
      <c r="C16" s="82">
        <v>0.26100000000000001</v>
      </c>
      <c r="D16" s="81">
        <v>0.91700000000000004</v>
      </c>
      <c r="E16" s="82">
        <v>0.27600000000000002</v>
      </c>
      <c r="F16" s="81">
        <v>0.92200000000000004</v>
      </c>
      <c r="G16" s="82">
        <v>0.26900000000000002</v>
      </c>
      <c r="H16" s="82">
        <v>0.65400000000000003</v>
      </c>
      <c r="I16" s="95" t="str">
        <f t="shared" si="0"/>
        <v/>
      </c>
    </row>
    <row r="17" spans="1:9" x14ac:dyDescent="0.2">
      <c r="A17" s="96" t="s">
        <v>19</v>
      </c>
      <c r="B17" s="81">
        <v>0.90900000000000003</v>
      </c>
      <c r="C17" s="82">
        <v>0.28799999999999998</v>
      </c>
      <c r="D17" s="81">
        <v>0.92</v>
      </c>
      <c r="E17" s="82">
        <v>0.27100000000000002</v>
      </c>
      <c r="F17" s="81">
        <v>0.91500000000000004</v>
      </c>
      <c r="G17" s="82">
        <v>0.27900000000000003</v>
      </c>
      <c r="H17" s="82">
        <v>0.622</v>
      </c>
      <c r="I17" s="95" t="str">
        <f t="shared" si="0"/>
        <v/>
      </c>
    </row>
    <row r="18" spans="1:9" x14ac:dyDescent="0.2">
      <c r="A18" s="97" t="s">
        <v>20</v>
      </c>
      <c r="B18" s="83">
        <v>0.68200000000000005</v>
      </c>
      <c r="C18" s="84">
        <v>0.46600000000000003</v>
      </c>
      <c r="D18" s="83">
        <v>0.58499999999999996</v>
      </c>
      <c r="E18" s="84">
        <v>0.49399999999999999</v>
      </c>
      <c r="F18" s="83">
        <v>0.63100000000000001</v>
      </c>
      <c r="G18" s="84">
        <v>0.48299999999999998</v>
      </c>
      <c r="H18" s="84">
        <v>1.4999999999999999E-2</v>
      </c>
      <c r="I18" s="95" t="str">
        <f t="shared" si="0"/>
        <v>**</v>
      </c>
    </row>
    <row r="19" spans="1:9" x14ac:dyDescent="0.2">
      <c r="A19" s="96" t="s">
        <v>22</v>
      </c>
      <c r="B19" s="81">
        <v>0.77700000000000002</v>
      </c>
      <c r="C19" s="82">
        <v>0.41699999999999998</v>
      </c>
      <c r="D19" s="81">
        <v>0.754</v>
      </c>
      <c r="E19" s="82">
        <v>0.43099999999999999</v>
      </c>
      <c r="F19" s="81">
        <v>0.76500000000000001</v>
      </c>
      <c r="G19" s="82">
        <v>0.42399999999999999</v>
      </c>
      <c r="H19" s="82">
        <v>0.51300000000000001</v>
      </c>
      <c r="I19" s="95" t="str">
        <f t="shared" si="0"/>
        <v/>
      </c>
    </row>
    <row r="20" spans="1:9" x14ac:dyDescent="0.2">
      <c r="A20" s="96" t="s">
        <v>23</v>
      </c>
      <c r="B20" s="81">
        <v>0.55500000000000005</v>
      </c>
      <c r="C20" s="82">
        <v>0.498</v>
      </c>
      <c r="D20" s="81">
        <v>0.498</v>
      </c>
      <c r="E20" s="82">
        <v>0.501</v>
      </c>
      <c r="F20" s="81">
        <v>0.52500000000000002</v>
      </c>
      <c r="G20" s="82">
        <v>0.5</v>
      </c>
      <c r="H20" s="82">
        <v>0.17699999999999999</v>
      </c>
      <c r="I20" s="95" t="str">
        <f t="shared" si="0"/>
        <v/>
      </c>
    </row>
    <row r="21" spans="1:9" x14ac:dyDescent="0.2">
      <c r="A21" s="97" t="s">
        <v>24</v>
      </c>
      <c r="B21" s="83">
        <v>0.50700000000000001</v>
      </c>
      <c r="C21" s="84">
        <v>0.501</v>
      </c>
      <c r="D21" s="83">
        <v>0.435</v>
      </c>
      <c r="E21" s="84">
        <v>0.497</v>
      </c>
      <c r="F21" s="83">
        <v>0.47</v>
      </c>
      <c r="G21" s="84">
        <v>0.5</v>
      </c>
      <c r="H21" s="84">
        <v>8.4000000000000005E-2</v>
      </c>
      <c r="I21" s="95" t="str">
        <f t="shared" si="0"/>
        <v>*</v>
      </c>
    </row>
    <row r="22" spans="1:9" x14ac:dyDescent="0.2">
      <c r="A22" s="96" t="s">
        <v>25</v>
      </c>
      <c r="B22" s="81">
        <v>0.19700000000000001</v>
      </c>
      <c r="C22" s="82">
        <v>0.39900000000000002</v>
      </c>
      <c r="D22" s="81">
        <v>0.22600000000000001</v>
      </c>
      <c r="E22" s="82">
        <v>0.41899999999999998</v>
      </c>
      <c r="F22" s="81">
        <v>0.21199999999999999</v>
      </c>
      <c r="G22" s="82">
        <v>0.40899999999999997</v>
      </c>
      <c r="H22" s="82">
        <v>0.39900000000000002</v>
      </c>
      <c r="I22" s="95" t="str">
        <f t="shared" si="0"/>
        <v/>
      </c>
    </row>
    <row r="23" spans="1:9" x14ac:dyDescent="0.2">
      <c r="A23" s="96" t="s">
        <v>26</v>
      </c>
      <c r="B23" s="81">
        <v>0.27700000000000002</v>
      </c>
      <c r="C23" s="82">
        <v>0.44900000000000001</v>
      </c>
      <c r="D23" s="81">
        <v>0.28399999999999997</v>
      </c>
      <c r="E23" s="82">
        <v>0.45200000000000001</v>
      </c>
      <c r="F23" s="81">
        <v>0.28100000000000003</v>
      </c>
      <c r="G23" s="82">
        <v>0.45</v>
      </c>
      <c r="H23" s="82">
        <v>0.86299999999999999</v>
      </c>
      <c r="I23" s="95" t="str">
        <f t="shared" si="0"/>
        <v/>
      </c>
    </row>
    <row r="24" spans="1:9" x14ac:dyDescent="0.2">
      <c r="A24" s="96" t="s">
        <v>28</v>
      </c>
      <c r="B24" s="81">
        <v>0.248</v>
      </c>
      <c r="C24" s="82">
        <v>0.433</v>
      </c>
      <c r="D24" s="81">
        <v>0.22600000000000001</v>
      </c>
      <c r="E24" s="82">
        <v>0.41899999999999998</v>
      </c>
      <c r="F24" s="81">
        <v>0.23699999999999999</v>
      </c>
      <c r="G24" s="82">
        <v>0.42499999999999999</v>
      </c>
      <c r="H24" s="82">
        <v>0.53100000000000003</v>
      </c>
      <c r="I24" s="95" t="str">
        <f t="shared" si="0"/>
        <v/>
      </c>
    </row>
    <row r="25" spans="1:9" x14ac:dyDescent="0.2">
      <c r="A25" s="96" t="s">
        <v>29</v>
      </c>
      <c r="B25" s="81">
        <v>0.88700000000000001</v>
      </c>
      <c r="C25" s="82">
        <v>0.317</v>
      </c>
      <c r="D25" s="81">
        <v>0.85699999999999998</v>
      </c>
      <c r="E25" s="82">
        <v>0.35099999999999998</v>
      </c>
      <c r="F25" s="81">
        <v>0.871</v>
      </c>
      <c r="G25" s="82">
        <v>0.33500000000000002</v>
      </c>
      <c r="H25" s="82">
        <v>0.28899999999999998</v>
      </c>
      <c r="I25" s="95" t="str">
        <f t="shared" si="0"/>
        <v/>
      </c>
    </row>
    <row r="26" spans="1:9" x14ac:dyDescent="0.2">
      <c r="A26" s="96" t="s">
        <v>30</v>
      </c>
      <c r="B26" s="81">
        <v>0.92700000000000005</v>
      </c>
      <c r="C26" s="82">
        <v>0.26100000000000001</v>
      </c>
      <c r="D26" s="81">
        <v>0.91400000000000003</v>
      </c>
      <c r="E26" s="82">
        <v>0.28100000000000003</v>
      </c>
      <c r="F26" s="81">
        <v>0.92</v>
      </c>
      <c r="G26" s="82">
        <v>0.27200000000000002</v>
      </c>
      <c r="H26" s="82">
        <v>0.55500000000000005</v>
      </c>
      <c r="I26" s="95" t="str">
        <f t="shared" si="0"/>
        <v/>
      </c>
    </row>
    <row r="27" spans="1:9" x14ac:dyDescent="0.2">
      <c r="A27" s="96" t="s">
        <v>31</v>
      </c>
      <c r="B27" s="81">
        <v>0.113</v>
      </c>
      <c r="C27" s="82">
        <v>0.317</v>
      </c>
      <c r="D27" s="81">
        <v>0.13</v>
      </c>
      <c r="E27" s="82">
        <v>0.33600000000000002</v>
      </c>
      <c r="F27" s="81">
        <v>0.122</v>
      </c>
      <c r="G27" s="82">
        <v>0.32700000000000001</v>
      </c>
      <c r="H27" s="82">
        <v>0.54800000000000004</v>
      </c>
      <c r="I27" s="95" t="str">
        <f t="shared" si="0"/>
        <v/>
      </c>
    </row>
    <row r="28" spans="1:9" x14ac:dyDescent="0.2">
      <c r="A28" s="96" t="s">
        <v>32</v>
      </c>
      <c r="B28" s="81">
        <v>9.0999999999999998E-2</v>
      </c>
      <c r="C28" s="82">
        <v>0.28799999999999998</v>
      </c>
      <c r="D28" s="81">
        <v>8.3000000000000004E-2</v>
      </c>
      <c r="E28" s="82">
        <v>0.27600000000000002</v>
      </c>
      <c r="F28" s="81">
        <v>8.6999999999999994E-2</v>
      </c>
      <c r="G28" s="82">
        <v>0.28199999999999997</v>
      </c>
      <c r="H28" s="82">
        <v>0.72799999999999998</v>
      </c>
      <c r="I28" s="95" t="str">
        <f t="shared" si="0"/>
        <v/>
      </c>
    </row>
    <row r="29" spans="1:9" ht="16" thickBot="1" x14ac:dyDescent="0.25">
      <c r="A29" s="98" t="s">
        <v>33</v>
      </c>
      <c r="B29" s="99">
        <v>0.106</v>
      </c>
      <c r="C29" s="100">
        <v>0.308</v>
      </c>
      <c r="D29" s="99">
        <v>0.1</v>
      </c>
      <c r="E29" s="100">
        <v>0.3</v>
      </c>
      <c r="F29" s="99">
        <v>0.10299999999999999</v>
      </c>
      <c r="G29" s="100">
        <v>0.30399999999999999</v>
      </c>
      <c r="H29" s="100">
        <v>0.80800000000000005</v>
      </c>
      <c r="I29" s="101" t="str">
        <f t="shared" si="0"/>
        <v/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LATAM</vt:lpstr>
      <vt:lpstr>Argentina</vt:lpstr>
      <vt:lpstr>Bolivia</vt:lpstr>
      <vt:lpstr>Brazil</vt:lpstr>
      <vt:lpstr>Chile</vt:lpstr>
      <vt:lpstr>Colombia</vt:lpstr>
      <vt:lpstr>Ecuador</vt:lpstr>
      <vt:lpstr>Guatemala</vt:lpstr>
      <vt:lpstr>Mexico</vt:lpstr>
      <vt:lpstr>Nicaragua</vt:lpstr>
      <vt:lpstr>Peru</vt:lpstr>
      <vt:lpstr>PuertoRico</vt:lpstr>
      <vt:lpstr>Uruguay</vt:lpstr>
      <vt:lpstr>Venezuela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Antonella Paparini</cp:lastModifiedBy>
  <dcterms:created xsi:type="dcterms:W3CDTF">2026-01-26T09:38:48Z</dcterms:created>
  <dcterms:modified xsi:type="dcterms:W3CDTF">2026-01-31T03:30:44Z</dcterms:modified>
</cp:coreProperties>
</file>